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3.xml" ContentType="application/vnd.openxmlformats-officedocument.spreadsheetml.table+xml"/>
  <Override PartName="/xl/pivotTables/pivotTable5.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pivotTables/pivotTable6.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C1AAA935-4B31-4BBB-B313-F661130A0769}" xr6:coauthVersionLast="47" xr6:coauthVersionMax="47" xr10:uidLastSave="{00000000-0000-0000-0000-000000000000}"/>
  <bookViews>
    <workbookView xWindow="-108" yWindow="-108" windowWidth="23256" windowHeight="12456" firstSheet="1" activeTab="1" xr2:uid="{3A637FC7-D95B-419E-9019-AEFD1CEE4D73}"/>
  </bookViews>
  <sheets>
    <sheet name="Dashboard" sheetId="1" r:id="rId1"/>
    <sheet name="Raw Data" sheetId="2" r:id="rId2"/>
    <sheet name="Clean_Data" sheetId="5" r:id="rId3"/>
    <sheet name="Dashboard_1" sheetId="7" r:id="rId4"/>
    <sheet name="Dashboard_2" sheetId="10" r:id="rId5"/>
    <sheet name="Dashboard_3" sheetId="11" r:id="rId6"/>
    <sheet name="Liquidity_Helper" sheetId="12" r:id="rId7"/>
    <sheet name="Dashboard_4_New" sheetId="19" r:id="rId8"/>
    <sheet name="Task4_Source" sheetId="20" r:id="rId9"/>
    <sheet name="Dashboard_5" sheetId="22" r:id="rId10"/>
    <sheet name="Historical_Helper" sheetId="23" r:id="rId11"/>
    <sheet name="Dashboard_6" sheetId="25" r:id="rId12"/>
    <sheet name="Investment_Helper" sheetId="26" r:id="rId13"/>
  </sheets>
  <definedNames>
    <definedName name="_xlcn.WorksheetConnection_Clean_DataA1Q2011" hidden="1">Clean_Data!$A$1:$P$201</definedName>
    <definedName name="_xlcn.WorksheetConnection_CyrptoCurrencyAI.xlsmmarkets?vs_currency_usd_order_market_cap_desc_per_page_200_page_1_sparkline_fals31" hidden="1">markets?vs_currency_usd_order_market_cap_desc_per_page_200_page_1_sparkline_fals3[]</definedName>
    <definedName name="ExternalData_1" localSheetId="2" hidden="1">Clean_Data!$A$1:$I$201</definedName>
    <definedName name="ExternalData_1" localSheetId="1" hidden="1">'Raw Data'!$A$1:$I$201</definedName>
    <definedName name="Slicer_Price_Filter">#N/A</definedName>
    <definedName name="Slicer_Price_Group">#N/A</definedName>
    <definedName name="Slicer_Price_Range">#N/A</definedName>
    <definedName name="Slicer_Price_Range1">#N/A</definedName>
  </definedNames>
  <calcPr calcId="191029"/>
  <pivotCaches>
    <pivotCache cacheId="0" r:id="rId14"/>
    <pivotCache cacheId="1" r:id="rId15"/>
    <pivotCache cacheId="2" r:id="rId16"/>
    <pivotCache cacheId="3"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rkets vs_currency_usd_order_market_cap_desc_per_page_200_page_1_sparkline_fals3" name="markets vs_currency_usd_order_market_cap_desc_per_page_200_page_1_sparkline_fals3" connection="WorksheetConnection_CyrptoCurrency-AI.xlsm!markets?vs_currency_usd_order_market_cap_desc_per_page_200_page_1_sparkline_fals3"/>
          <x15:modelTable id="Range" name="Range" connection="WorksheetConnection_Clean_Data!$A$1:$Q$20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25" l="1"/>
  <c r="G5" i="25"/>
  <c r="G2" i="25"/>
  <c r="G3" i="25"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83" i="26"/>
  <c r="H84" i="26"/>
  <c r="H85" i="26"/>
  <c r="H86" i="26"/>
  <c r="H87" i="26"/>
  <c r="H88" i="26"/>
  <c r="H89" i="26"/>
  <c r="H90" i="26"/>
  <c r="H91" i="26"/>
  <c r="H92" i="26"/>
  <c r="H93" i="26"/>
  <c r="H94" i="26"/>
  <c r="H95" i="26"/>
  <c r="H96" i="26"/>
  <c r="H97" i="26"/>
  <c r="H98" i="26"/>
  <c r="H99" i="26"/>
  <c r="H100" i="26"/>
  <c r="H101" i="26"/>
  <c r="H102" i="26"/>
  <c r="H103" i="26"/>
  <c r="H104" i="26"/>
  <c r="H105" i="26"/>
  <c r="H106" i="26"/>
  <c r="H107" i="26"/>
  <c r="H108" i="26"/>
  <c r="H109" i="26"/>
  <c r="H110" i="26"/>
  <c r="H111" i="26"/>
  <c r="H112" i="26"/>
  <c r="H113" i="26"/>
  <c r="H114" i="26"/>
  <c r="H115" i="26"/>
  <c r="H116" i="26"/>
  <c r="H117" i="26"/>
  <c r="H118" i="26"/>
  <c r="H119" i="26"/>
  <c r="H120" i="26"/>
  <c r="H121" i="26"/>
  <c r="H122" i="26"/>
  <c r="H123" i="26"/>
  <c r="H124" i="26"/>
  <c r="H125" i="26"/>
  <c r="H126" i="26"/>
  <c r="H127" i="26"/>
  <c r="H128" i="26"/>
  <c r="H129" i="26"/>
  <c r="H130" i="26"/>
  <c r="H131" i="26"/>
  <c r="H132" i="26"/>
  <c r="H133" i="26"/>
  <c r="H134" i="26"/>
  <c r="H135" i="26"/>
  <c r="H136" i="26"/>
  <c r="H137" i="26"/>
  <c r="H138" i="26"/>
  <c r="H139" i="26"/>
  <c r="H140" i="26"/>
  <c r="H141" i="26"/>
  <c r="H142" i="26"/>
  <c r="H143" i="26"/>
  <c r="H144" i="26"/>
  <c r="H145" i="26"/>
  <c r="H146" i="26"/>
  <c r="H147" i="26"/>
  <c r="H148" i="26"/>
  <c r="H149" i="26"/>
  <c r="H150" i="26"/>
  <c r="H151" i="26"/>
  <c r="H152" i="26"/>
  <c r="H153" i="26"/>
  <c r="H154" i="26"/>
  <c r="H155" i="26"/>
  <c r="H156" i="26"/>
  <c r="H157" i="26"/>
  <c r="H158" i="26"/>
  <c r="H159" i="26"/>
  <c r="H160" i="26"/>
  <c r="H161" i="26"/>
  <c r="H162" i="26"/>
  <c r="H163" i="26"/>
  <c r="H164" i="26"/>
  <c r="H165" i="26"/>
  <c r="H166" i="26"/>
  <c r="H167" i="26"/>
  <c r="H168" i="26"/>
  <c r="H169" i="26"/>
  <c r="H170" i="26"/>
  <c r="H171" i="26"/>
  <c r="H172" i="26"/>
  <c r="H173" i="26"/>
  <c r="H174" i="26"/>
  <c r="H175" i="26"/>
  <c r="H176" i="26"/>
  <c r="H177" i="26"/>
  <c r="H178" i="26"/>
  <c r="H179" i="26"/>
  <c r="H180" i="26"/>
  <c r="H181" i="26"/>
  <c r="H182" i="26"/>
  <c r="H183" i="26"/>
  <c r="H184" i="26"/>
  <c r="H185" i="26"/>
  <c r="H186" i="26"/>
  <c r="H187" i="26"/>
  <c r="H188" i="26"/>
  <c r="H189" i="26"/>
  <c r="H190" i="26"/>
  <c r="H191" i="26"/>
  <c r="H192" i="26"/>
  <c r="H193" i="26"/>
  <c r="H194" i="26"/>
  <c r="H195" i="26"/>
  <c r="H196" i="26"/>
  <c r="H197" i="26"/>
  <c r="H198" i="26"/>
  <c r="H199" i="26"/>
  <c r="H200" i="26"/>
  <c r="H201" i="26"/>
  <c r="H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83" i="26"/>
  <c r="G84" i="26"/>
  <c r="G85" i="26"/>
  <c r="G86" i="26"/>
  <c r="G87" i="26"/>
  <c r="G88" i="26"/>
  <c r="G89" i="26"/>
  <c r="G90" i="26"/>
  <c r="G91" i="26"/>
  <c r="G92" i="26"/>
  <c r="G93" i="26"/>
  <c r="G94" i="26"/>
  <c r="G95" i="26"/>
  <c r="G96" i="26"/>
  <c r="G97" i="26"/>
  <c r="G98" i="26"/>
  <c r="G99" i="26"/>
  <c r="G100" i="26"/>
  <c r="G101" i="26"/>
  <c r="G102" i="26"/>
  <c r="G103" i="26"/>
  <c r="G104" i="26"/>
  <c r="G105" i="26"/>
  <c r="G106" i="26"/>
  <c r="G107" i="26"/>
  <c r="G108" i="26"/>
  <c r="G109" i="26"/>
  <c r="G110" i="26"/>
  <c r="G111" i="26"/>
  <c r="G112" i="26"/>
  <c r="G113" i="26"/>
  <c r="G114" i="26"/>
  <c r="G115" i="26"/>
  <c r="G116" i="26"/>
  <c r="G117" i="26"/>
  <c r="G118" i="26"/>
  <c r="G119" i="26"/>
  <c r="G120" i="26"/>
  <c r="G121" i="26"/>
  <c r="G122" i="26"/>
  <c r="G123" i="26"/>
  <c r="G124" i="26"/>
  <c r="G125" i="26"/>
  <c r="G126" i="26"/>
  <c r="G127" i="26"/>
  <c r="G128" i="26"/>
  <c r="G129" i="26"/>
  <c r="G130" i="26"/>
  <c r="G131" i="26"/>
  <c r="G132" i="26"/>
  <c r="G133" i="26"/>
  <c r="G134" i="26"/>
  <c r="G135" i="26"/>
  <c r="G136" i="26"/>
  <c r="G137" i="26"/>
  <c r="G138" i="26"/>
  <c r="G139" i="26"/>
  <c r="G140" i="26"/>
  <c r="G141" i="26"/>
  <c r="G142" i="26"/>
  <c r="G143" i="26"/>
  <c r="G144" i="26"/>
  <c r="G145" i="26"/>
  <c r="G146" i="26"/>
  <c r="G147" i="26"/>
  <c r="G148" i="26"/>
  <c r="G149" i="26"/>
  <c r="G150" i="26"/>
  <c r="G151" i="26"/>
  <c r="G152" i="26"/>
  <c r="G153" i="26"/>
  <c r="G154" i="26"/>
  <c r="G155" i="26"/>
  <c r="G156" i="26"/>
  <c r="G157" i="26"/>
  <c r="G158" i="26"/>
  <c r="G159" i="26"/>
  <c r="G160" i="26"/>
  <c r="G161" i="26"/>
  <c r="G162" i="26"/>
  <c r="G163" i="26"/>
  <c r="G164" i="26"/>
  <c r="G165" i="26"/>
  <c r="G166" i="26"/>
  <c r="G167" i="26"/>
  <c r="G168" i="26"/>
  <c r="G169" i="26"/>
  <c r="G170" i="26"/>
  <c r="G171" i="26"/>
  <c r="G172" i="26"/>
  <c r="G173" i="26"/>
  <c r="G174" i="26"/>
  <c r="G175" i="26"/>
  <c r="G176" i="26"/>
  <c r="G177" i="26"/>
  <c r="G178" i="26"/>
  <c r="G179" i="26"/>
  <c r="G180" i="26"/>
  <c r="G181" i="26"/>
  <c r="G182" i="26"/>
  <c r="G183" i="26"/>
  <c r="G184" i="26"/>
  <c r="G185" i="26"/>
  <c r="G186" i="26"/>
  <c r="G187" i="26"/>
  <c r="G188" i="26"/>
  <c r="G189" i="26"/>
  <c r="G190" i="26"/>
  <c r="G191" i="26"/>
  <c r="G192" i="26"/>
  <c r="G193" i="26"/>
  <c r="G194" i="26"/>
  <c r="G195" i="26"/>
  <c r="G196" i="26"/>
  <c r="G197" i="26"/>
  <c r="G198" i="26"/>
  <c r="G199" i="26"/>
  <c r="G200" i="26"/>
  <c r="G201" i="26"/>
  <c r="G2" i="26"/>
  <c r="I3" i="23"/>
  <c r="I4" i="23"/>
  <c r="I5" i="23"/>
  <c r="I6" i="23"/>
  <c r="I7" i="23"/>
  <c r="I8" i="23"/>
  <c r="I9" i="23"/>
  <c r="I10" i="23"/>
  <c r="I11" i="23"/>
  <c r="I12" i="23"/>
  <c r="I13" i="23"/>
  <c r="I14" i="23"/>
  <c r="I15" i="23"/>
  <c r="I16" i="23"/>
  <c r="I17" i="23"/>
  <c r="I18" i="23"/>
  <c r="I19" i="23"/>
  <c r="I20" i="23"/>
  <c r="I21" i="23"/>
  <c r="I22" i="23"/>
  <c r="I23" i="23"/>
  <c r="I24" i="2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111" i="23"/>
  <c r="I112" i="23"/>
  <c r="I113" i="23"/>
  <c r="I114" i="23"/>
  <c r="I115" i="23"/>
  <c r="I116" i="23"/>
  <c r="I117" i="23"/>
  <c r="I118" i="23"/>
  <c r="I119" i="23"/>
  <c r="I120" i="23"/>
  <c r="I121" i="23"/>
  <c r="I122" i="23"/>
  <c r="I123" i="23"/>
  <c r="I124" i="23"/>
  <c r="I125" i="23"/>
  <c r="I126" i="23"/>
  <c r="I127" i="23"/>
  <c r="I128" i="23"/>
  <c r="I129" i="23"/>
  <c r="I130" i="23"/>
  <c r="I131" i="23"/>
  <c r="I132" i="23"/>
  <c r="I133" i="23"/>
  <c r="I134" i="23"/>
  <c r="I135" i="23"/>
  <c r="I136" i="23"/>
  <c r="I137" i="23"/>
  <c r="I138" i="23"/>
  <c r="I139" i="23"/>
  <c r="I140" i="23"/>
  <c r="I141" i="23"/>
  <c r="I142" i="23"/>
  <c r="I143" i="23"/>
  <c r="I144" i="23"/>
  <c r="I145" i="23"/>
  <c r="I146" i="23"/>
  <c r="I147" i="23"/>
  <c r="I148" i="23"/>
  <c r="I149" i="23"/>
  <c r="I150" i="23"/>
  <c r="I151" i="23"/>
  <c r="I152" i="23"/>
  <c r="I153" i="23"/>
  <c r="I154" i="23"/>
  <c r="I155" i="23"/>
  <c r="I156" i="23"/>
  <c r="I157" i="23"/>
  <c r="I158" i="23"/>
  <c r="I159" i="23"/>
  <c r="I160" i="23"/>
  <c r="I161" i="23"/>
  <c r="I162" i="23"/>
  <c r="I163" i="23"/>
  <c r="I164" i="23"/>
  <c r="I165" i="23"/>
  <c r="I166" i="23"/>
  <c r="I167" i="23"/>
  <c r="I168" i="23"/>
  <c r="I169" i="23"/>
  <c r="I170" i="23"/>
  <c r="I171" i="23"/>
  <c r="I172" i="23"/>
  <c r="I173" i="23"/>
  <c r="I174" i="23"/>
  <c r="I175" i="23"/>
  <c r="I176" i="23"/>
  <c r="I177" i="23"/>
  <c r="I178" i="23"/>
  <c r="I179" i="23"/>
  <c r="I180" i="23"/>
  <c r="I181" i="23"/>
  <c r="I182" i="23"/>
  <c r="I183" i="23"/>
  <c r="I184" i="23"/>
  <c r="I185" i="23"/>
  <c r="I186" i="23"/>
  <c r="I187" i="23"/>
  <c r="I188" i="23"/>
  <c r="I189" i="23"/>
  <c r="I190" i="23"/>
  <c r="I191" i="23"/>
  <c r="I192" i="23"/>
  <c r="I193" i="23"/>
  <c r="I194" i="23"/>
  <c r="I195" i="23"/>
  <c r="I196" i="23"/>
  <c r="I197" i="23"/>
  <c r="I198" i="23"/>
  <c r="I199" i="23"/>
  <c r="I200" i="23"/>
  <c r="I201" i="23"/>
  <c r="I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 i="23"/>
  <c r="G3" i="23"/>
  <c r="G4" i="23"/>
  <c r="G5" i="23"/>
  <c r="G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G76" i="23"/>
  <c r="G77" i="23"/>
  <c r="G78" i="23"/>
  <c r="G79" i="23"/>
  <c r="G80" i="23"/>
  <c r="G81" i="23"/>
  <c r="G82" i="23"/>
  <c r="G83" i="23"/>
  <c r="G84" i="23"/>
  <c r="G85" i="23"/>
  <c r="G86" i="23"/>
  <c r="G87" i="23"/>
  <c r="G88" i="23"/>
  <c r="G89" i="23"/>
  <c r="G90" i="23"/>
  <c r="G91" i="23"/>
  <c r="G92" i="23"/>
  <c r="G93" i="23"/>
  <c r="G94" i="23"/>
  <c r="G95" i="23"/>
  <c r="G96" i="23"/>
  <c r="G97" i="23"/>
  <c r="G98" i="23"/>
  <c r="G99" i="23"/>
  <c r="G100" i="23"/>
  <c r="G101" i="23"/>
  <c r="G102" i="23"/>
  <c r="G103" i="23"/>
  <c r="G104" i="23"/>
  <c r="G105" i="23"/>
  <c r="G106" i="23"/>
  <c r="G107" i="23"/>
  <c r="G108" i="23"/>
  <c r="G109" i="23"/>
  <c r="G110" i="23"/>
  <c r="G111" i="23"/>
  <c r="G112" i="23"/>
  <c r="G113" i="23"/>
  <c r="G114" i="23"/>
  <c r="G115" i="23"/>
  <c r="G116" i="23"/>
  <c r="G117" i="23"/>
  <c r="G118" i="23"/>
  <c r="G119" i="23"/>
  <c r="G120" i="23"/>
  <c r="G121" i="23"/>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 i="23"/>
  <c r="G18" i="20"/>
  <c r="G23" i="20"/>
  <c r="G24" i="20"/>
  <c r="G25" i="20"/>
  <c r="G26" i="20"/>
  <c r="G30" i="20"/>
  <c r="G35" i="20"/>
  <c r="G36" i="20"/>
  <c r="G37" i="20"/>
  <c r="G38" i="20"/>
  <c r="G42" i="20"/>
  <c r="G47" i="20"/>
  <c r="G48" i="20"/>
  <c r="G49" i="20"/>
  <c r="G50" i="20"/>
  <c r="G54" i="20"/>
  <c r="G59" i="20"/>
  <c r="G60" i="20"/>
  <c r="G61" i="20"/>
  <c r="G62" i="20"/>
  <c r="G66" i="20"/>
  <c r="G71" i="20"/>
  <c r="G72" i="20"/>
  <c r="G73" i="20"/>
  <c r="G74" i="20"/>
  <c r="G78" i="20"/>
  <c r="G83" i="20"/>
  <c r="G84" i="20"/>
  <c r="G85" i="20"/>
  <c r="G86" i="20"/>
  <c r="G90" i="20"/>
  <c r="G95" i="20"/>
  <c r="G96" i="20"/>
  <c r="G97" i="20"/>
  <c r="G98" i="20"/>
  <c r="G102" i="20"/>
  <c r="G107" i="20"/>
  <c r="G108" i="20"/>
  <c r="G109" i="20"/>
  <c r="G110" i="20"/>
  <c r="G114" i="20"/>
  <c r="G119" i="20"/>
  <c r="G120" i="20"/>
  <c r="G121" i="20"/>
  <c r="G122" i="20"/>
  <c r="G126" i="20"/>
  <c r="G131" i="20"/>
  <c r="G132" i="20"/>
  <c r="G133" i="20"/>
  <c r="G134" i="20"/>
  <c r="G138" i="20"/>
  <c r="G143" i="20"/>
  <c r="G144" i="20"/>
  <c r="G145" i="20"/>
  <c r="G146" i="20"/>
  <c r="G150" i="20"/>
  <c r="G155" i="20"/>
  <c r="G156" i="20"/>
  <c r="G157" i="20"/>
  <c r="G158" i="20"/>
  <c r="G162" i="20"/>
  <c r="G167" i="20"/>
  <c r="G168" i="20"/>
  <c r="G169" i="20"/>
  <c r="G170" i="20"/>
  <c r="G174" i="20"/>
  <c r="G179" i="20"/>
  <c r="G180" i="20"/>
  <c r="G181" i="20"/>
  <c r="G182" i="20"/>
  <c r="G186" i="20"/>
  <c r="G191" i="20"/>
  <c r="G192" i="20"/>
  <c r="G193" i="20"/>
  <c r="G194" i="20"/>
  <c r="G198" i="20"/>
  <c r="F3" i="20"/>
  <c r="G3" i="20" s="1"/>
  <c r="F4" i="20"/>
  <c r="G4" i="20" s="1"/>
  <c r="F5" i="20"/>
  <c r="G5" i="20" s="1"/>
  <c r="F6" i="20"/>
  <c r="G6" i="20" s="1"/>
  <c r="F7" i="20"/>
  <c r="G7" i="20" s="1"/>
  <c r="F8" i="20"/>
  <c r="G8" i="20" s="1"/>
  <c r="F9" i="20"/>
  <c r="G9" i="20" s="1"/>
  <c r="F10" i="20"/>
  <c r="G10" i="20" s="1"/>
  <c r="F11" i="20"/>
  <c r="G11" i="20" s="1"/>
  <c r="F12" i="20"/>
  <c r="G12" i="20" s="1"/>
  <c r="F13" i="20"/>
  <c r="G13" i="20" s="1"/>
  <c r="F14" i="20"/>
  <c r="G14" i="20" s="1"/>
  <c r="F15" i="20"/>
  <c r="G15" i="20" s="1"/>
  <c r="F16" i="20"/>
  <c r="G16" i="20" s="1"/>
  <c r="F17" i="20"/>
  <c r="G17" i="20" s="1"/>
  <c r="F18" i="20"/>
  <c r="F19" i="20"/>
  <c r="G19" i="20" s="1"/>
  <c r="F20" i="20"/>
  <c r="G20" i="20" s="1"/>
  <c r="F21" i="20"/>
  <c r="G21" i="20" s="1"/>
  <c r="F22" i="20"/>
  <c r="G22" i="20" s="1"/>
  <c r="F23" i="20"/>
  <c r="F24" i="20"/>
  <c r="F25" i="20"/>
  <c r="F26" i="20"/>
  <c r="F27" i="20"/>
  <c r="G27" i="20" s="1"/>
  <c r="F28" i="20"/>
  <c r="G28" i="20" s="1"/>
  <c r="F29" i="20"/>
  <c r="G29" i="20" s="1"/>
  <c r="F30" i="20"/>
  <c r="F31" i="20"/>
  <c r="G31" i="20" s="1"/>
  <c r="F32" i="20"/>
  <c r="G32" i="20" s="1"/>
  <c r="F33" i="20"/>
  <c r="G33" i="20" s="1"/>
  <c r="F34" i="20"/>
  <c r="G34" i="20" s="1"/>
  <c r="F35" i="20"/>
  <c r="F36" i="20"/>
  <c r="F37" i="20"/>
  <c r="F38" i="20"/>
  <c r="F39" i="20"/>
  <c r="G39" i="20" s="1"/>
  <c r="F40" i="20"/>
  <c r="G40" i="20" s="1"/>
  <c r="F41" i="20"/>
  <c r="G41" i="20" s="1"/>
  <c r="F42" i="20"/>
  <c r="F43" i="20"/>
  <c r="G43" i="20" s="1"/>
  <c r="F44" i="20"/>
  <c r="G44" i="20" s="1"/>
  <c r="F45" i="20"/>
  <c r="G45" i="20" s="1"/>
  <c r="F46" i="20"/>
  <c r="G46" i="20" s="1"/>
  <c r="F47" i="20"/>
  <c r="F48" i="20"/>
  <c r="F49" i="20"/>
  <c r="F50" i="20"/>
  <c r="F51" i="20"/>
  <c r="G51" i="20" s="1"/>
  <c r="F52" i="20"/>
  <c r="G52" i="20" s="1"/>
  <c r="F53" i="20"/>
  <c r="G53" i="20" s="1"/>
  <c r="F54" i="20"/>
  <c r="F55" i="20"/>
  <c r="G55" i="20" s="1"/>
  <c r="F56" i="20"/>
  <c r="G56" i="20" s="1"/>
  <c r="F57" i="20"/>
  <c r="G57" i="20" s="1"/>
  <c r="F58" i="20"/>
  <c r="G58" i="20" s="1"/>
  <c r="F59" i="20"/>
  <c r="F60" i="20"/>
  <c r="F61" i="20"/>
  <c r="F62" i="20"/>
  <c r="F63" i="20"/>
  <c r="G63" i="20" s="1"/>
  <c r="F64" i="20"/>
  <c r="G64" i="20" s="1"/>
  <c r="F65" i="20"/>
  <c r="G65" i="20" s="1"/>
  <c r="F66" i="20"/>
  <c r="F67" i="20"/>
  <c r="G67" i="20" s="1"/>
  <c r="F68" i="20"/>
  <c r="G68" i="20" s="1"/>
  <c r="F69" i="20"/>
  <c r="G69" i="20" s="1"/>
  <c r="F70" i="20"/>
  <c r="G70" i="20" s="1"/>
  <c r="F71" i="20"/>
  <c r="F72" i="20"/>
  <c r="F73" i="20"/>
  <c r="F74" i="20"/>
  <c r="F75" i="20"/>
  <c r="G75" i="20" s="1"/>
  <c r="F76" i="20"/>
  <c r="G76" i="20" s="1"/>
  <c r="F77" i="20"/>
  <c r="G77" i="20" s="1"/>
  <c r="F78" i="20"/>
  <c r="F79" i="20"/>
  <c r="G79" i="20" s="1"/>
  <c r="F80" i="20"/>
  <c r="G80" i="20" s="1"/>
  <c r="F81" i="20"/>
  <c r="G81" i="20" s="1"/>
  <c r="F82" i="20"/>
  <c r="G82" i="20" s="1"/>
  <c r="F83" i="20"/>
  <c r="F84" i="20"/>
  <c r="F85" i="20"/>
  <c r="F86" i="20"/>
  <c r="F87" i="20"/>
  <c r="G87" i="20" s="1"/>
  <c r="F88" i="20"/>
  <c r="G88" i="20" s="1"/>
  <c r="F89" i="20"/>
  <c r="G89" i="20" s="1"/>
  <c r="F90" i="20"/>
  <c r="F91" i="20"/>
  <c r="G91" i="20" s="1"/>
  <c r="F92" i="20"/>
  <c r="G92" i="20" s="1"/>
  <c r="F93" i="20"/>
  <c r="G93" i="20" s="1"/>
  <c r="F94" i="20"/>
  <c r="G94" i="20" s="1"/>
  <c r="F95" i="20"/>
  <c r="F96" i="20"/>
  <c r="F97" i="20"/>
  <c r="F98" i="20"/>
  <c r="F99" i="20"/>
  <c r="G99" i="20" s="1"/>
  <c r="F100" i="20"/>
  <c r="G100" i="20" s="1"/>
  <c r="F101" i="20"/>
  <c r="G101" i="20" s="1"/>
  <c r="F102" i="20"/>
  <c r="F103" i="20"/>
  <c r="G103" i="20" s="1"/>
  <c r="F104" i="20"/>
  <c r="G104" i="20" s="1"/>
  <c r="F105" i="20"/>
  <c r="G105" i="20" s="1"/>
  <c r="F106" i="20"/>
  <c r="G106" i="20" s="1"/>
  <c r="F107" i="20"/>
  <c r="F108" i="20"/>
  <c r="F109" i="20"/>
  <c r="F110" i="20"/>
  <c r="F111" i="20"/>
  <c r="G111" i="20" s="1"/>
  <c r="F112" i="20"/>
  <c r="G112" i="20" s="1"/>
  <c r="F113" i="20"/>
  <c r="G113" i="20" s="1"/>
  <c r="F114" i="20"/>
  <c r="F115" i="20"/>
  <c r="G115" i="20" s="1"/>
  <c r="F116" i="20"/>
  <c r="G116" i="20" s="1"/>
  <c r="F117" i="20"/>
  <c r="G117" i="20" s="1"/>
  <c r="F118" i="20"/>
  <c r="G118" i="20" s="1"/>
  <c r="F119" i="20"/>
  <c r="F120" i="20"/>
  <c r="F121" i="20"/>
  <c r="F122" i="20"/>
  <c r="F123" i="20"/>
  <c r="G123" i="20" s="1"/>
  <c r="F124" i="20"/>
  <c r="G124" i="20" s="1"/>
  <c r="F125" i="20"/>
  <c r="G125" i="20" s="1"/>
  <c r="F126" i="20"/>
  <c r="F127" i="20"/>
  <c r="G127" i="20" s="1"/>
  <c r="F128" i="20"/>
  <c r="G128" i="20" s="1"/>
  <c r="F129" i="20"/>
  <c r="G129" i="20" s="1"/>
  <c r="F130" i="20"/>
  <c r="G130" i="20" s="1"/>
  <c r="F131" i="20"/>
  <c r="F132" i="20"/>
  <c r="F133" i="20"/>
  <c r="F134" i="20"/>
  <c r="F135" i="20"/>
  <c r="G135" i="20" s="1"/>
  <c r="F136" i="20"/>
  <c r="G136" i="20" s="1"/>
  <c r="F137" i="20"/>
  <c r="G137" i="20" s="1"/>
  <c r="F138" i="20"/>
  <c r="F139" i="20"/>
  <c r="G139" i="20" s="1"/>
  <c r="F140" i="20"/>
  <c r="G140" i="20" s="1"/>
  <c r="F141" i="20"/>
  <c r="G141" i="20" s="1"/>
  <c r="F142" i="20"/>
  <c r="G142" i="20" s="1"/>
  <c r="F143" i="20"/>
  <c r="F144" i="20"/>
  <c r="F145" i="20"/>
  <c r="F146" i="20"/>
  <c r="F147" i="20"/>
  <c r="G147" i="20" s="1"/>
  <c r="F148" i="20"/>
  <c r="G148" i="20" s="1"/>
  <c r="F149" i="20"/>
  <c r="G149" i="20" s="1"/>
  <c r="F150" i="20"/>
  <c r="F151" i="20"/>
  <c r="G151" i="20" s="1"/>
  <c r="F152" i="20"/>
  <c r="G152" i="20" s="1"/>
  <c r="F153" i="20"/>
  <c r="G153" i="20" s="1"/>
  <c r="F154" i="20"/>
  <c r="G154" i="20" s="1"/>
  <c r="F155" i="20"/>
  <c r="F156" i="20"/>
  <c r="F157" i="20"/>
  <c r="F158" i="20"/>
  <c r="F159" i="20"/>
  <c r="G159" i="20" s="1"/>
  <c r="F160" i="20"/>
  <c r="G160" i="20" s="1"/>
  <c r="F161" i="20"/>
  <c r="G161" i="20" s="1"/>
  <c r="F162" i="20"/>
  <c r="F163" i="20"/>
  <c r="G163" i="20" s="1"/>
  <c r="F164" i="20"/>
  <c r="G164" i="20" s="1"/>
  <c r="F165" i="20"/>
  <c r="G165" i="20" s="1"/>
  <c r="F166" i="20"/>
  <c r="G166" i="20" s="1"/>
  <c r="F167" i="20"/>
  <c r="F168" i="20"/>
  <c r="F169" i="20"/>
  <c r="F170" i="20"/>
  <c r="F171" i="20"/>
  <c r="G171" i="20" s="1"/>
  <c r="F172" i="20"/>
  <c r="G172" i="20" s="1"/>
  <c r="F173" i="20"/>
  <c r="G173" i="20" s="1"/>
  <c r="F174" i="20"/>
  <c r="F175" i="20"/>
  <c r="G175" i="20" s="1"/>
  <c r="F176" i="20"/>
  <c r="G176" i="20" s="1"/>
  <c r="F177" i="20"/>
  <c r="G177" i="20" s="1"/>
  <c r="F178" i="20"/>
  <c r="G178" i="20" s="1"/>
  <c r="F179" i="20"/>
  <c r="F180" i="20"/>
  <c r="F181" i="20"/>
  <c r="F182" i="20"/>
  <c r="F183" i="20"/>
  <c r="G183" i="20" s="1"/>
  <c r="F184" i="20"/>
  <c r="G184" i="20" s="1"/>
  <c r="F185" i="20"/>
  <c r="G185" i="20" s="1"/>
  <c r="F186" i="20"/>
  <c r="F187" i="20"/>
  <c r="G187" i="20" s="1"/>
  <c r="F188" i="20"/>
  <c r="G188" i="20" s="1"/>
  <c r="F189" i="20"/>
  <c r="G189" i="20" s="1"/>
  <c r="F190" i="20"/>
  <c r="G190" i="20" s="1"/>
  <c r="F191" i="20"/>
  <c r="F192" i="20"/>
  <c r="F193" i="20"/>
  <c r="F194" i="20"/>
  <c r="F195" i="20"/>
  <c r="G195" i="20" s="1"/>
  <c r="F196" i="20"/>
  <c r="G196" i="20" s="1"/>
  <c r="F197" i="20"/>
  <c r="G197" i="20" s="1"/>
  <c r="F198" i="20"/>
  <c r="F199" i="20"/>
  <c r="G199" i="20" s="1"/>
  <c r="F200" i="20"/>
  <c r="G200" i="20" s="1"/>
  <c r="F201" i="20"/>
  <c r="G201" i="20" s="1"/>
  <c r="F2" i="20"/>
  <c r="G2" i="20" s="1"/>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3" i="20"/>
  <c r="E4" i="20"/>
  <c r="E5" i="20"/>
  <c r="E6" i="20"/>
  <c r="E7" i="20"/>
  <c r="E8" i="20"/>
  <c r="E9" i="20"/>
  <c r="E10" i="20"/>
  <c r="E11" i="20"/>
  <c r="E12" i="20"/>
  <c r="E13" i="20"/>
  <c r="E14" i="20"/>
  <c r="E15" i="20"/>
  <c r="E16" i="20"/>
  <c r="E17" i="20"/>
  <c r="E18" i="20"/>
  <c r="E19" i="20"/>
  <c r="E20" i="20"/>
  <c r="E21" i="20"/>
  <c r="E22" i="20"/>
  <c r="E2" i="20"/>
  <c r="Q5" i="5"/>
  <c r="Q10" i="5"/>
  <c r="Q11" i="5"/>
  <c r="Q12" i="5"/>
  <c r="Q13" i="5"/>
  <c r="Q17" i="5"/>
  <c r="Q22" i="5"/>
  <c r="Q23" i="5"/>
  <c r="Q24" i="5"/>
  <c r="Q25" i="5"/>
  <c r="Q29" i="5"/>
  <c r="Q34" i="5"/>
  <c r="Q35" i="5"/>
  <c r="Q36" i="5"/>
  <c r="Q37" i="5"/>
  <c r="Q41" i="5"/>
  <c r="Q46" i="5"/>
  <c r="Q47" i="5"/>
  <c r="Q48" i="5"/>
  <c r="Q49" i="5"/>
  <c r="Q53" i="5"/>
  <c r="Q58" i="5"/>
  <c r="Q59" i="5"/>
  <c r="Q60" i="5"/>
  <c r="Q61" i="5"/>
  <c r="Q65" i="5"/>
  <c r="Q70" i="5"/>
  <c r="Q71" i="5"/>
  <c r="Q72" i="5"/>
  <c r="Q73" i="5"/>
  <c r="Q77" i="5"/>
  <c r="Q82" i="5"/>
  <c r="Q83" i="5"/>
  <c r="Q84" i="5"/>
  <c r="Q85" i="5"/>
  <c r="Q89" i="5"/>
  <c r="Q94" i="5"/>
  <c r="Q95" i="5"/>
  <c r="Q96" i="5"/>
  <c r="Q97" i="5"/>
  <c r="Q101" i="5"/>
  <c r="Q106" i="5"/>
  <c r="Q107" i="5"/>
  <c r="Q108" i="5"/>
  <c r="Q109" i="5"/>
  <c r="Q113" i="5"/>
  <c r="Q118" i="5"/>
  <c r="Q119" i="5"/>
  <c r="Q120" i="5"/>
  <c r="Q121" i="5"/>
  <c r="Q125" i="5"/>
  <c r="Q130" i="5"/>
  <c r="Q131" i="5"/>
  <c r="Q132" i="5"/>
  <c r="Q133" i="5"/>
  <c r="Q137" i="5"/>
  <c r="Q142" i="5"/>
  <c r="Q143" i="5"/>
  <c r="Q144" i="5"/>
  <c r="Q145" i="5"/>
  <c r="Q149" i="5"/>
  <c r="Q154" i="5"/>
  <c r="Q155" i="5"/>
  <c r="Q156" i="5"/>
  <c r="Q157" i="5"/>
  <c r="Q161" i="5"/>
  <c r="Q166" i="5"/>
  <c r="Q167" i="5"/>
  <c r="Q168" i="5"/>
  <c r="Q169" i="5"/>
  <c r="Q173" i="5"/>
  <c r="Q178" i="5"/>
  <c r="Q179" i="5"/>
  <c r="Q180" i="5"/>
  <c r="Q181" i="5"/>
  <c r="Q185" i="5"/>
  <c r="Q190" i="5"/>
  <c r="Q191" i="5"/>
  <c r="Q192" i="5"/>
  <c r="Q193" i="5"/>
  <c r="Q197" i="5"/>
  <c r="P2" i="5"/>
  <c r="Q2" i="5" s="1"/>
  <c r="P3" i="5"/>
  <c r="Q3" i="5" s="1"/>
  <c r="P4" i="5"/>
  <c r="Q4" i="5" s="1"/>
  <c r="P5" i="5"/>
  <c r="P6" i="5"/>
  <c r="Q6" i="5" s="1"/>
  <c r="P7" i="5"/>
  <c r="Q7" i="5" s="1"/>
  <c r="P8" i="5"/>
  <c r="Q8" i="5" s="1"/>
  <c r="P9" i="5"/>
  <c r="Q9" i="5" s="1"/>
  <c r="P10" i="5"/>
  <c r="P11" i="5"/>
  <c r="P12" i="5"/>
  <c r="P13" i="5"/>
  <c r="P14" i="5"/>
  <c r="Q14" i="5" s="1"/>
  <c r="P15" i="5"/>
  <c r="Q15" i="5" s="1"/>
  <c r="P16" i="5"/>
  <c r="Q16" i="5" s="1"/>
  <c r="P17" i="5"/>
  <c r="P18" i="5"/>
  <c r="Q18" i="5" s="1"/>
  <c r="P19" i="5"/>
  <c r="Q19" i="5" s="1"/>
  <c r="P20" i="5"/>
  <c r="Q20" i="5" s="1"/>
  <c r="P21" i="5"/>
  <c r="Q21" i="5" s="1"/>
  <c r="P22" i="5"/>
  <c r="P23" i="5"/>
  <c r="P24" i="5"/>
  <c r="P25" i="5"/>
  <c r="P26" i="5"/>
  <c r="Q26" i="5" s="1"/>
  <c r="P27" i="5"/>
  <c r="Q27" i="5" s="1"/>
  <c r="P28" i="5"/>
  <c r="Q28" i="5" s="1"/>
  <c r="P29" i="5"/>
  <c r="P30" i="5"/>
  <c r="Q30" i="5" s="1"/>
  <c r="P31" i="5"/>
  <c r="Q31" i="5" s="1"/>
  <c r="P32" i="5"/>
  <c r="Q32" i="5" s="1"/>
  <c r="P33" i="5"/>
  <c r="Q33" i="5" s="1"/>
  <c r="P34" i="5"/>
  <c r="P35" i="5"/>
  <c r="P36" i="5"/>
  <c r="P37" i="5"/>
  <c r="P38" i="5"/>
  <c r="Q38" i="5" s="1"/>
  <c r="P39" i="5"/>
  <c r="Q39" i="5" s="1"/>
  <c r="P40" i="5"/>
  <c r="Q40" i="5" s="1"/>
  <c r="P41" i="5"/>
  <c r="P42" i="5"/>
  <c r="Q42" i="5" s="1"/>
  <c r="P43" i="5"/>
  <c r="Q43" i="5" s="1"/>
  <c r="P44" i="5"/>
  <c r="Q44" i="5" s="1"/>
  <c r="P45" i="5"/>
  <c r="Q45" i="5" s="1"/>
  <c r="P46" i="5"/>
  <c r="P47" i="5"/>
  <c r="P48" i="5"/>
  <c r="P49" i="5"/>
  <c r="P50" i="5"/>
  <c r="Q50" i="5" s="1"/>
  <c r="P51" i="5"/>
  <c r="Q51" i="5" s="1"/>
  <c r="P52" i="5"/>
  <c r="Q52" i="5" s="1"/>
  <c r="P53" i="5"/>
  <c r="P54" i="5"/>
  <c r="Q54" i="5" s="1"/>
  <c r="P55" i="5"/>
  <c r="Q55" i="5" s="1"/>
  <c r="P56" i="5"/>
  <c r="Q56" i="5" s="1"/>
  <c r="P57" i="5"/>
  <c r="Q57" i="5" s="1"/>
  <c r="P58" i="5"/>
  <c r="P59" i="5"/>
  <c r="P60" i="5"/>
  <c r="P61" i="5"/>
  <c r="P62" i="5"/>
  <c r="Q62" i="5" s="1"/>
  <c r="P63" i="5"/>
  <c r="Q63" i="5" s="1"/>
  <c r="P64" i="5"/>
  <c r="Q64" i="5" s="1"/>
  <c r="P65" i="5"/>
  <c r="P66" i="5"/>
  <c r="Q66" i="5" s="1"/>
  <c r="P67" i="5"/>
  <c r="Q67" i="5" s="1"/>
  <c r="P68" i="5"/>
  <c r="Q68" i="5" s="1"/>
  <c r="P69" i="5"/>
  <c r="Q69" i="5" s="1"/>
  <c r="P70" i="5"/>
  <c r="P71" i="5"/>
  <c r="P72" i="5"/>
  <c r="P73" i="5"/>
  <c r="P74" i="5"/>
  <c r="Q74" i="5" s="1"/>
  <c r="P75" i="5"/>
  <c r="Q75" i="5" s="1"/>
  <c r="P76" i="5"/>
  <c r="Q76" i="5" s="1"/>
  <c r="P77" i="5"/>
  <c r="P78" i="5"/>
  <c r="Q78" i="5" s="1"/>
  <c r="P79" i="5"/>
  <c r="Q79" i="5" s="1"/>
  <c r="P80" i="5"/>
  <c r="Q80" i="5" s="1"/>
  <c r="P81" i="5"/>
  <c r="Q81" i="5" s="1"/>
  <c r="P82" i="5"/>
  <c r="P83" i="5"/>
  <c r="P84" i="5"/>
  <c r="P85" i="5"/>
  <c r="P86" i="5"/>
  <c r="Q86" i="5" s="1"/>
  <c r="P87" i="5"/>
  <c r="Q87" i="5" s="1"/>
  <c r="P88" i="5"/>
  <c r="Q88" i="5" s="1"/>
  <c r="P89" i="5"/>
  <c r="P90" i="5"/>
  <c r="Q90" i="5" s="1"/>
  <c r="P91" i="5"/>
  <c r="Q91" i="5" s="1"/>
  <c r="P92" i="5"/>
  <c r="Q92" i="5" s="1"/>
  <c r="P93" i="5"/>
  <c r="Q93" i="5" s="1"/>
  <c r="P94" i="5"/>
  <c r="P95" i="5"/>
  <c r="P96" i="5"/>
  <c r="P97" i="5"/>
  <c r="P98" i="5"/>
  <c r="Q98" i="5" s="1"/>
  <c r="P99" i="5"/>
  <c r="Q99" i="5" s="1"/>
  <c r="P100" i="5"/>
  <c r="Q100" i="5" s="1"/>
  <c r="P101" i="5"/>
  <c r="P102" i="5"/>
  <c r="Q102" i="5" s="1"/>
  <c r="P103" i="5"/>
  <c r="Q103" i="5" s="1"/>
  <c r="P104" i="5"/>
  <c r="Q104" i="5" s="1"/>
  <c r="P105" i="5"/>
  <c r="Q105" i="5" s="1"/>
  <c r="P106" i="5"/>
  <c r="P107" i="5"/>
  <c r="P108" i="5"/>
  <c r="P109" i="5"/>
  <c r="P110" i="5"/>
  <c r="Q110" i="5" s="1"/>
  <c r="P111" i="5"/>
  <c r="Q111" i="5" s="1"/>
  <c r="P112" i="5"/>
  <c r="Q112" i="5" s="1"/>
  <c r="P113" i="5"/>
  <c r="P114" i="5"/>
  <c r="Q114" i="5" s="1"/>
  <c r="P115" i="5"/>
  <c r="Q115" i="5" s="1"/>
  <c r="P116" i="5"/>
  <c r="Q116" i="5" s="1"/>
  <c r="P117" i="5"/>
  <c r="Q117" i="5" s="1"/>
  <c r="P118" i="5"/>
  <c r="P119" i="5"/>
  <c r="P120" i="5"/>
  <c r="P121" i="5"/>
  <c r="P122" i="5"/>
  <c r="Q122" i="5" s="1"/>
  <c r="P123" i="5"/>
  <c r="Q123" i="5" s="1"/>
  <c r="P124" i="5"/>
  <c r="Q124" i="5" s="1"/>
  <c r="P125" i="5"/>
  <c r="P126" i="5"/>
  <c r="Q126" i="5" s="1"/>
  <c r="P127" i="5"/>
  <c r="Q127" i="5" s="1"/>
  <c r="P128" i="5"/>
  <c r="Q128" i="5" s="1"/>
  <c r="P129" i="5"/>
  <c r="Q129" i="5" s="1"/>
  <c r="P130" i="5"/>
  <c r="P131" i="5"/>
  <c r="P132" i="5"/>
  <c r="P133" i="5"/>
  <c r="P134" i="5"/>
  <c r="Q134" i="5" s="1"/>
  <c r="P135" i="5"/>
  <c r="Q135" i="5" s="1"/>
  <c r="P136" i="5"/>
  <c r="Q136" i="5" s="1"/>
  <c r="P137" i="5"/>
  <c r="P138" i="5"/>
  <c r="Q138" i="5" s="1"/>
  <c r="P139" i="5"/>
  <c r="Q139" i="5" s="1"/>
  <c r="P140" i="5"/>
  <c r="Q140" i="5" s="1"/>
  <c r="P141" i="5"/>
  <c r="Q141" i="5" s="1"/>
  <c r="P142" i="5"/>
  <c r="P143" i="5"/>
  <c r="P144" i="5"/>
  <c r="P145" i="5"/>
  <c r="P146" i="5"/>
  <c r="Q146" i="5" s="1"/>
  <c r="P147" i="5"/>
  <c r="Q147" i="5" s="1"/>
  <c r="P148" i="5"/>
  <c r="Q148" i="5" s="1"/>
  <c r="P149" i="5"/>
  <c r="P150" i="5"/>
  <c r="Q150" i="5" s="1"/>
  <c r="P151" i="5"/>
  <c r="Q151" i="5" s="1"/>
  <c r="P152" i="5"/>
  <c r="Q152" i="5" s="1"/>
  <c r="P153" i="5"/>
  <c r="Q153" i="5" s="1"/>
  <c r="P154" i="5"/>
  <c r="P155" i="5"/>
  <c r="P156" i="5"/>
  <c r="P157" i="5"/>
  <c r="P158" i="5"/>
  <c r="Q158" i="5" s="1"/>
  <c r="P159" i="5"/>
  <c r="Q159" i="5" s="1"/>
  <c r="P160" i="5"/>
  <c r="Q160" i="5" s="1"/>
  <c r="P161" i="5"/>
  <c r="P162" i="5"/>
  <c r="Q162" i="5" s="1"/>
  <c r="P163" i="5"/>
  <c r="Q163" i="5" s="1"/>
  <c r="P164" i="5"/>
  <c r="Q164" i="5" s="1"/>
  <c r="P165" i="5"/>
  <c r="Q165" i="5" s="1"/>
  <c r="P166" i="5"/>
  <c r="P167" i="5"/>
  <c r="P168" i="5"/>
  <c r="P169" i="5"/>
  <c r="P170" i="5"/>
  <c r="Q170" i="5" s="1"/>
  <c r="P171" i="5"/>
  <c r="Q171" i="5" s="1"/>
  <c r="P172" i="5"/>
  <c r="Q172" i="5" s="1"/>
  <c r="P173" i="5"/>
  <c r="P174" i="5"/>
  <c r="Q174" i="5" s="1"/>
  <c r="P175" i="5"/>
  <c r="Q175" i="5" s="1"/>
  <c r="P176" i="5"/>
  <c r="Q176" i="5" s="1"/>
  <c r="P177" i="5"/>
  <c r="Q177" i="5" s="1"/>
  <c r="P178" i="5"/>
  <c r="P179" i="5"/>
  <c r="P180" i="5"/>
  <c r="P181" i="5"/>
  <c r="P182" i="5"/>
  <c r="Q182" i="5" s="1"/>
  <c r="P183" i="5"/>
  <c r="Q183" i="5" s="1"/>
  <c r="P184" i="5"/>
  <c r="Q184" i="5" s="1"/>
  <c r="P185" i="5"/>
  <c r="P186" i="5"/>
  <c r="Q186" i="5" s="1"/>
  <c r="P187" i="5"/>
  <c r="Q187" i="5" s="1"/>
  <c r="P188" i="5"/>
  <c r="Q188" i="5" s="1"/>
  <c r="P189" i="5"/>
  <c r="Q189" i="5" s="1"/>
  <c r="P190" i="5"/>
  <c r="P191" i="5"/>
  <c r="P192" i="5"/>
  <c r="P193" i="5"/>
  <c r="P194" i="5"/>
  <c r="Q194" i="5" s="1"/>
  <c r="P195" i="5"/>
  <c r="Q195" i="5" s="1"/>
  <c r="P196" i="5"/>
  <c r="Q196" i="5" s="1"/>
  <c r="P197" i="5"/>
  <c r="P198" i="5"/>
  <c r="Q198" i="5" s="1"/>
  <c r="P199" i="5"/>
  <c r="Q199" i="5" s="1"/>
  <c r="P200" i="5"/>
  <c r="Q200" i="5" s="1"/>
  <c r="P201" i="5"/>
  <c r="Q201" i="5" s="1"/>
  <c r="O2"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3" i="5"/>
  <c r="D2" i="12"/>
  <c r="B6" i="12"/>
  <c r="B5" i="12"/>
  <c r="B4" i="12"/>
  <c r="B3" i="12"/>
  <c r="B2" i="12"/>
  <c r="D5" i="12" s="1"/>
  <c r="A6" i="12"/>
  <c r="A5" i="12"/>
  <c r="A4" i="12"/>
  <c r="A3" i="12"/>
  <c r="A2" i="12"/>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C11" i="10"/>
  <c r="B11" i="10"/>
  <c r="C10" i="10"/>
  <c r="B10" i="10"/>
  <c r="C9" i="10"/>
  <c r="B9" i="10"/>
  <c r="C8" i="10"/>
  <c r="B8" i="10"/>
  <c r="C7" i="10"/>
  <c r="B7" i="10"/>
  <c r="J2" i="5"/>
  <c r="K2" i="5" s="1"/>
  <c r="J3" i="5"/>
  <c r="K3" i="5" s="1"/>
  <c r="J4" i="5"/>
  <c r="K4" i="5" s="1"/>
  <c r="J5" i="5"/>
  <c r="K5" i="5" s="1"/>
  <c r="J6" i="5"/>
  <c r="J7" i="5"/>
  <c r="K7" i="5" s="1"/>
  <c r="J8" i="5"/>
  <c r="K8" i="5" s="1"/>
  <c r="J9" i="5"/>
  <c r="J10" i="5"/>
  <c r="K10" i="5" s="1"/>
  <c r="J11" i="5"/>
  <c r="K11" i="5" s="1"/>
  <c r="J12" i="5"/>
  <c r="K12" i="5" s="1"/>
  <c r="J13" i="5"/>
  <c r="K13" i="5" s="1"/>
  <c r="J14" i="5"/>
  <c r="K14" i="5" s="1"/>
  <c r="J15" i="5"/>
  <c r="K15" i="5" s="1"/>
  <c r="J16" i="5"/>
  <c r="K16" i="5" s="1"/>
  <c r="J17" i="5"/>
  <c r="J18" i="5"/>
  <c r="K18" i="5" s="1"/>
  <c r="J19" i="5"/>
  <c r="K19" i="5" s="1"/>
  <c r="J20" i="5"/>
  <c r="K20" i="5" s="1"/>
  <c r="J21" i="5"/>
  <c r="K21" i="5" s="1"/>
  <c r="J22" i="5"/>
  <c r="K22" i="5" s="1"/>
  <c r="J23" i="5"/>
  <c r="K23" i="5" s="1"/>
  <c r="J24" i="5"/>
  <c r="K24" i="5" s="1"/>
  <c r="J25" i="5"/>
  <c r="K25" i="5" s="1"/>
  <c r="J26" i="5"/>
  <c r="K26" i="5" s="1"/>
  <c r="J27" i="5"/>
  <c r="K27" i="5" s="1"/>
  <c r="J28" i="5"/>
  <c r="K28" i="5" s="1"/>
  <c r="J29" i="5"/>
  <c r="K29" i="5" s="1"/>
  <c r="J30" i="5"/>
  <c r="J31" i="5"/>
  <c r="K31" i="5" s="1"/>
  <c r="J32" i="5"/>
  <c r="K32" i="5" s="1"/>
  <c r="J33" i="5"/>
  <c r="K33" i="5" s="1"/>
  <c r="J34" i="5"/>
  <c r="K34" i="5" s="1"/>
  <c r="J35" i="5"/>
  <c r="K35" i="5" s="1"/>
  <c r="J36" i="5"/>
  <c r="K36" i="5" s="1"/>
  <c r="J37" i="5"/>
  <c r="K37" i="5" s="1"/>
  <c r="J38" i="5"/>
  <c r="K38" i="5" s="1"/>
  <c r="J39" i="5"/>
  <c r="K39" i="5" s="1"/>
  <c r="J40" i="5"/>
  <c r="K40" i="5" s="1"/>
  <c r="J41" i="5"/>
  <c r="J42" i="5"/>
  <c r="J43" i="5"/>
  <c r="K43" i="5" s="1"/>
  <c r="J44" i="5"/>
  <c r="K44" i="5" s="1"/>
  <c r="J45" i="5"/>
  <c r="K45" i="5" s="1"/>
  <c r="J46" i="5"/>
  <c r="K46" i="5" s="1"/>
  <c r="J47" i="5"/>
  <c r="K47" i="5" s="1"/>
  <c r="J48" i="5"/>
  <c r="K48" i="5" s="1"/>
  <c r="J49" i="5"/>
  <c r="K49" i="5" s="1"/>
  <c r="J50" i="5"/>
  <c r="K50" i="5" s="1"/>
  <c r="J51" i="5"/>
  <c r="K51" i="5" s="1"/>
  <c r="J52" i="5"/>
  <c r="K52" i="5" s="1"/>
  <c r="J53" i="5"/>
  <c r="K53" i="5" s="1"/>
  <c r="J54" i="5"/>
  <c r="K54" i="5" s="1"/>
  <c r="J55" i="5"/>
  <c r="K55" i="5" s="1"/>
  <c r="J56" i="5"/>
  <c r="K56" i="5" s="1"/>
  <c r="J57" i="5"/>
  <c r="K57" i="5" s="1"/>
  <c r="J58" i="5"/>
  <c r="K58" i="5" s="1"/>
  <c r="J59" i="5"/>
  <c r="K59" i="5" s="1"/>
  <c r="J60" i="5"/>
  <c r="K60" i="5" s="1"/>
  <c r="J61" i="5"/>
  <c r="K61" i="5" s="1"/>
  <c r="J62" i="5"/>
  <c r="K62" i="5" s="1"/>
  <c r="J63" i="5"/>
  <c r="K63" i="5" s="1"/>
  <c r="J64" i="5"/>
  <c r="K64" i="5" s="1"/>
  <c r="J65" i="5"/>
  <c r="K65" i="5" s="1"/>
  <c r="J66" i="5"/>
  <c r="K66" i="5" s="1"/>
  <c r="J67" i="5"/>
  <c r="K67" i="5" s="1"/>
  <c r="J68" i="5"/>
  <c r="K68" i="5" s="1"/>
  <c r="J69" i="5"/>
  <c r="K69" i="5" s="1"/>
  <c r="J70" i="5"/>
  <c r="K70" i="5" s="1"/>
  <c r="J71" i="5"/>
  <c r="K71" i="5" s="1"/>
  <c r="J72" i="5"/>
  <c r="K72" i="5" s="1"/>
  <c r="J73" i="5"/>
  <c r="K73" i="5" s="1"/>
  <c r="J74" i="5"/>
  <c r="K74" i="5" s="1"/>
  <c r="J75" i="5"/>
  <c r="K75" i="5" s="1"/>
  <c r="J76" i="5"/>
  <c r="K76" i="5" s="1"/>
  <c r="J77" i="5"/>
  <c r="J78" i="5"/>
  <c r="J79" i="5"/>
  <c r="J80" i="5"/>
  <c r="K80" i="5" s="1"/>
  <c r="J81" i="5"/>
  <c r="K81" i="5" s="1"/>
  <c r="J82" i="5"/>
  <c r="K82" i="5" s="1"/>
  <c r="J83" i="5"/>
  <c r="K83" i="5" s="1"/>
  <c r="J84" i="5"/>
  <c r="K84" i="5" s="1"/>
  <c r="J85" i="5"/>
  <c r="K85" i="5" s="1"/>
  <c r="J86" i="5"/>
  <c r="K86" i="5" s="1"/>
  <c r="J87" i="5"/>
  <c r="K87" i="5" s="1"/>
  <c r="J88" i="5"/>
  <c r="K88" i="5" s="1"/>
  <c r="J89" i="5"/>
  <c r="K89" i="5" s="1"/>
  <c r="J90" i="5"/>
  <c r="K90" i="5" s="1"/>
  <c r="J91" i="5"/>
  <c r="K91" i="5" s="1"/>
  <c r="J92" i="5"/>
  <c r="K92" i="5" s="1"/>
  <c r="J93" i="5"/>
  <c r="K93" i="5" s="1"/>
  <c r="J94" i="5"/>
  <c r="K94" i="5" s="1"/>
  <c r="J95" i="5"/>
  <c r="K95" i="5" s="1"/>
  <c r="J96" i="5"/>
  <c r="K96" i="5" s="1"/>
  <c r="J97" i="5"/>
  <c r="K97" i="5" s="1"/>
  <c r="J98" i="5"/>
  <c r="K98" i="5" s="1"/>
  <c r="J99" i="5"/>
  <c r="K99" i="5" s="1"/>
  <c r="J100" i="5"/>
  <c r="K100" i="5" s="1"/>
  <c r="J101" i="5"/>
  <c r="J102" i="5"/>
  <c r="J103" i="5"/>
  <c r="K103" i="5" s="1"/>
  <c r="J104" i="5"/>
  <c r="J105" i="5"/>
  <c r="K105" i="5" s="1"/>
  <c r="J106" i="5"/>
  <c r="K106" i="5" s="1"/>
  <c r="J107" i="5"/>
  <c r="K107" i="5" s="1"/>
  <c r="J108" i="5"/>
  <c r="K108" i="5" s="1"/>
  <c r="J109" i="5"/>
  <c r="K109" i="5" s="1"/>
  <c r="J110" i="5"/>
  <c r="K110" i="5" s="1"/>
  <c r="J111" i="5"/>
  <c r="K111" i="5" s="1"/>
  <c r="J112" i="5"/>
  <c r="K112" i="5" s="1"/>
  <c r="J113" i="5"/>
  <c r="J114" i="5"/>
  <c r="K114" i="5" s="1"/>
  <c r="J115" i="5"/>
  <c r="K115" i="5" s="1"/>
  <c r="J116" i="5"/>
  <c r="K116" i="5" s="1"/>
  <c r="J117" i="5"/>
  <c r="K117" i="5" s="1"/>
  <c r="J118" i="5"/>
  <c r="K118" i="5" s="1"/>
  <c r="J119" i="5"/>
  <c r="K119" i="5" s="1"/>
  <c r="J120" i="5"/>
  <c r="K120" i="5" s="1"/>
  <c r="J121" i="5"/>
  <c r="K121" i="5" s="1"/>
  <c r="J122" i="5"/>
  <c r="K122" i="5" s="1"/>
  <c r="J123" i="5"/>
  <c r="K123" i="5" s="1"/>
  <c r="J124" i="5"/>
  <c r="K124" i="5" s="1"/>
  <c r="J125" i="5"/>
  <c r="K125" i="5" s="1"/>
  <c r="J126" i="5"/>
  <c r="J127" i="5"/>
  <c r="K127" i="5" s="1"/>
  <c r="J128" i="5"/>
  <c r="K128" i="5" s="1"/>
  <c r="J129" i="5"/>
  <c r="K129" i="5" s="1"/>
  <c r="J130" i="5"/>
  <c r="K130" i="5" s="1"/>
  <c r="J131" i="5"/>
  <c r="K131" i="5" s="1"/>
  <c r="J132" i="5"/>
  <c r="K132" i="5" s="1"/>
  <c r="J133" i="5"/>
  <c r="K133" i="5" s="1"/>
  <c r="J134" i="5"/>
  <c r="K134" i="5" s="1"/>
  <c r="J135" i="5"/>
  <c r="K135" i="5" s="1"/>
  <c r="J136" i="5"/>
  <c r="K136" i="5" s="1"/>
  <c r="J137" i="5"/>
  <c r="K137" i="5" s="1"/>
  <c r="J138" i="5"/>
  <c r="K138" i="5" s="1"/>
  <c r="J139" i="5"/>
  <c r="K139" i="5" s="1"/>
  <c r="J140" i="5"/>
  <c r="K140" i="5" s="1"/>
  <c r="J141" i="5"/>
  <c r="K141" i="5" s="1"/>
  <c r="J142" i="5"/>
  <c r="K142" i="5" s="1"/>
  <c r="J143" i="5"/>
  <c r="K143" i="5" s="1"/>
  <c r="J144" i="5"/>
  <c r="K144" i="5" s="1"/>
  <c r="J145" i="5"/>
  <c r="K145" i="5" s="1"/>
  <c r="J146" i="5"/>
  <c r="K146" i="5" s="1"/>
  <c r="J147" i="5"/>
  <c r="K147" i="5" s="1"/>
  <c r="J148" i="5"/>
  <c r="K148" i="5" s="1"/>
  <c r="J149" i="5"/>
  <c r="K149" i="5" s="1"/>
  <c r="J150" i="5"/>
  <c r="J151" i="5"/>
  <c r="J152" i="5"/>
  <c r="J153" i="5"/>
  <c r="K153" i="5" s="1"/>
  <c r="J154" i="5"/>
  <c r="K154" i="5" s="1"/>
  <c r="J155" i="5"/>
  <c r="K155" i="5" s="1"/>
  <c r="J156" i="5"/>
  <c r="K156" i="5" s="1"/>
  <c r="J157" i="5"/>
  <c r="K157" i="5" s="1"/>
  <c r="J158" i="5"/>
  <c r="K158" i="5" s="1"/>
  <c r="J159" i="5"/>
  <c r="K159" i="5" s="1"/>
  <c r="J160" i="5"/>
  <c r="K160" i="5" s="1"/>
  <c r="J161" i="5"/>
  <c r="K161" i="5" s="1"/>
  <c r="J162" i="5"/>
  <c r="K162" i="5" s="1"/>
  <c r="J163" i="5"/>
  <c r="K163" i="5" s="1"/>
  <c r="J164" i="5"/>
  <c r="K164" i="5" s="1"/>
  <c r="J165" i="5"/>
  <c r="K165" i="5" s="1"/>
  <c r="J166" i="5"/>
  <c r="K166" i="5" s="1"/>
  <c r="J167" i="5"/>
  <c r="K167" i="5" s="1"/>
  <c r="J168" i="5"/>
  <c r="K168" i="5" s="1"/>
  <c r="J169" i="5"/>
  <c r="K169" i="5" s="1"/>
  <c r="J170" i="5"/>
  <c r="K170" i="5" s="1"/>
  <c r="J171" i="5"/>
  <c r="K171" i="5" s="1"/>
  <c r="J172" i="5"/>
  <c r="K172" i="5" s="1"/>
  <c r="J173" i="5"/>
  <c r="K173" i="5" s="1"/>
  <c r="J174" i="5"/>
  <c r="J175" i="5"/>
  <c r="K175" i="5" s="1"/>
  <c r="J176" i="5"/>
  <c r="K176" i="5" s="1"/>
  <c r="J177" i="5"/>
  <c r="K177" i="5" s="1"/>
  <c r="J178" i="5"/>
  <c r="K178" i="5" s="1"/>
  <c r="J179" i="5"/>
  <c r="K179" i="5" s="1"/>
  <c r="J180" i="5"/>
  <c r="K180" i="5" s="1"/>
  <c r="J181" i="5"/>
  <c r="K181" i="5" s="1"/>
  <c r="J182" i="5"/>
  <c r="K182" i="5" s="1"/>
  <c r="J183" i="5"/>
  <c r="K183" i="5" s="1"/>
  <c r="J184" i="5"/>
  <c r="K184" i="5" s="1"/>
  <c r="J185" i="5"/>
  <c r="J186" i="5"/>
  <c r="K186" i="5" s="1"/>
  <c r="J187" i="5"/>
  <c r="K187" i="5" s="1"/>
  <c r="J188" i="5"/>
  <c r="K188" i="5" s="1"/>
  <c r="J189" i="5"/>
  <c r="K189" i="5" s="1"/>
  <c r="J190" i="5"/>
  <c r="K190" i="5" s="1"/>
  <c r="J191" i="5"/>
  <c r="K191" i="5" s="1"/>
  <c r="J192" i="5"/>
  <c r="K192" i="5" s="1"/>
  <c r="J193" i="5"/>
  <c r="K193" i="5" s="1"/>
  <c r="J194" i="5"/>
  <c r="K194" i="5" s="1"/>
  <c r="J195" i="5"/>
  <c r="K195" i="5" s="1"/>
  <c r="J196" i="5"/>
  <c r="K196" i="5" s="1"/>
  <c r="J197" i="5"/>
  <c r="K197" i="5" s="1"/>
  <c r="J198" i="5"/>
  <c r="J199" i="5"/>
  <c r="K199" i="5" s="1"/>
  <c r="J200" i="5"/>
  <c r="K200" i="5" s="1"/>
  <c r="J201" i="5"/>
  <c r="K201" i="5" s="1"/>
  <c r="K9" i="5"/>
  <c r="M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L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K126" i="5"/>
  <c r="K198" i="5"/>
  <c r="K6" i="5"/>
  <c r="K17" i="5"/>
  <c r="K30" i="5"/>
  <c r="K41" i="5"/>
  <c r="K42" i="5"/>
  <c r="K77" i="5"/>
  <c r="K78" i="5"/>
  <c r="K79" i="5"/>
  <c r="K101" i="5"/>
  <c r="K102" i="5"/>
  <c r="K113" i="5"/>
  <c r="K150" i="5"/>
  <c r="K151" i="5"/>
  <c r="K152" i="5"/>
  <c r="K174" i="5"/>
  <c r="K185" i="5"/>
  <c r="G4" i="25" l="1"/>
  <c r="B15" i="10"/>
  <c r="B16" i="10"/>
  <c r="K104" i="5"/>
  <c r="B7" i="12"/>
  <c r="B1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FF631A-5F5D-49A0-9935-23161CD06DCE}" keepAlive="1" name="Query - markets?vs_currency=usd&amp;order=market_cap_desc&amp;per_page=200&amp;page=1&amp;sparkline= (2)" description="Connection to the 'markets?vs_currency=usd&amp;order=market_cap_desc&amp;per_page=200&amp;page=1&amp;sparkline= (2)' query in the workbook." type="5" refreshedVersion="8" background="1" saveData="1">
    <dbPr connection="Provider=Microsoft.Mashup.OleDb.1;Data Source=$Workbook$;Location=&quot;markets?vs_currency=usd&amp;order=market_cap_desc&amp;per_page=200&amp;page=1&amp;sparkline= (2)&quot;;Extended Properties=&quot;&quot;" command="SELECT * FROM [markets?vs_currency=usd&amp;order=market_cap_desc&amp;per_page=200&amp;page=1&amp;sparkline= (2)]"/>
  </connection>
  <connection id="2" xr16:uid="{9861CEC4-CD49-41F7-8BA7-783461B1ABDE}" keepAlive="1" name="Query - markets?vs_currency=usd&amp;order=market_cap_desc&amp;per_page=200&amp;page=1&amp;sparkline=fals" description="Connection to the 'markets?vs_currency=usd&amp;order=market_cap_desc&amp;per_page=200&amp;page=1&amp;sparkline=fals' query in the workbook." type="5" refreshedVersion="8" background="1" saveData="1">
    <dbPr connection="Provider=Microsoft.Mashup.OleDb.1;Data Source=$Workbook$;Location=&quot;markets?vs_currency=usd&amp;order=market_cap_desc&amp;per_page=200&amp;page=1&amp;sparkline=fals&quot;;Extended Properties=&quot;&quot;" command="SELECT * FROM [markets?vs_currency=usd&amp;order=market_cap_desc&amp;per_page=200&amp;page=1&amp;sparkline=fals]"/>
  </connection>
  <connection id="3" xr16:uid="{9D786D0B-BAFC-40A3-B4D4-8CA5AA8420F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978140B5-5012-42F0-928C-29A05713AE14}" name="WorksheetConnection_Clean_Data!$A$1:$Q$201" type="102" refreshedVersion="8" minRefreshableVersion="5">
    <extLst>
      <ext xmlns:x15="http://schemas.microsoft.com/office/spreadsheetml/2010/11/main" uri="{DE250136-89BD-433C-8126-D09CA5730AF9}">
        <x15:connection id="Range" autoDelete="1">
          <x15:rangePr sourceName="_xlcn.WorksheetConnection_Clean_DataA1Q2011"/>
        </x15:connection>
      </ext>
    </extLst>
  </connection>
  <connection id="5" xr16:uid="{7DA3B1CA-6B39-4967-98A3-F524B06A45C6}" name="WorksheetConnection_CyrptoCurrency-AI.xlsm!markets?vs_currency_usd_order_market_cap_desc_per_page_200_page_1_sparkline_fals3" type="102" refreshedVersion="8" minRefreshableVersion="5">
    <extLst>
      <ext xmlns:x15="http://schemas.microsoft.com/office/spreadsheetml/2010/11/main" uri="{DE250136-89BD-433C-8126-D09CA5730AF9}">
        <x15:connection id="markets vs_currency_usd_order_market_cap_desc_per_page_200_page_1_sparkline_fals3" autoDelete="1">
          <x15:rangePr sourceName="_xlcn.WorksheetConnection_CyrptoCurrencyAI.xlsmmarkets?vs_currency_usd_order_market_cap_desc_per_page_200_page_1_sparkline_fals31"/>
        </x15:connection>
      </ext>
    </extLst>
  </connection>
</connections>
</file>

<file path=xl/sharedStrings.xml><?xml version="1.0" encoding="utf-8"?>
<sst xmlns="http://schemas.openxmlformats.org/spreadsheetml/2006/main" count="2539" uniqueCount="474">
  <si>
    <t>Sheet Name</t>
  </si>
  <si>
    <t>Purpose</t>
  </si>
  <si>
    <t>Raw_Data</t>
  </si>
  <si>
    <t>API/raw imported data</t>
  </si>
  <si>
    <t>Clean_Data</t>
  </si>
  <si>
    <t>Processed formulas</t>
  </si>
  <si>
    <t>Dashboard_1</t>
  </si>
  <si>
    <t>Task 1</t>
  </si>
  <si>
    <t>Dashboard_2</t>
  </si>
  <si>
    <t>Task 2</t>
  </si>
  <si>
    <t>Dashboard_3</t>
  </si>
  <si>
    <t>Task 3</t>
  </si>
  <si>
    <t>Dashboard_4</t>
  </si>
  <si>
    <t>Task 4</t>
  </si>
  <si>
    <t>Dashboard_5</t>
  </si>
  <si>
    <t>Task 5</t>
  </si>
  <si>
    <t>Dashboard_6</t>
  </si>
  <si>
    <t>Task 6</t>
  </si>
  <si>
    <t>VBA_Helper</t>
  </si>
  <si>
    <t>Hidden calculations</t>
  </si>
  <si>
    <t>btc</t>
  </si>
  <si>
    <t>Bitcoin</t>
  </si>
  <si>
    <t>eth</t>
  </si>
  <si>
    <t>Ethereum</t>
  </si>
  <si>
    <t>usdt</t>
  </si>
  <si>
    <t>Tether</t>
  </si>
  <si>
    <t>bnb</t>
  </si>
  <si>
    <t>BNB</t>
  </si>
  <si>
    <t>xrp</t>
  </si>
  <si>
    <t>XRP</t>
  </si>
  <si>
    <t>usdc</t>
  </si>
  <si>
    <t>USDC</t>
  </si>
  <si>
    <t>sol</t>
  </si>
  <si>
    <t>Solana</t>
  </si>
  <si>
    <t>trx</t>
  </si>
  <si>
    <t>TRON</t>
  </si>
  <si>
    <t>figr_heloc</t>
  </si>
  <si>
    <t>Figure Heloc</t>
  </si>
  <si>
    <t>doge</t>
  </si>
  <si>
    <t>Dogecoin</t>
  </si>
  <si>
    <t>hype</t>
  </si>
  <si>
    <t>Hyperliquid</t>
  </si>
  <si>
    <t>wbt</t>
  </si>
  <si>
    <t>WhiteBIT Coin</t>
  </si>
  <si>
    <t>zec</t>
  </si>
  <si>
    <t>Zcash</t>
  </si>
  <si>
    <t>usds</t>
  </si>
  <si>
    <t>USDS</t>
  </si>
  <si>
    <t>leo</t>
  </si>
  <si>
    <t>LEO Token</t>
  </si>
  <si>
    <t>ada</t>
  </si>
  <si>
    <t>Cardano</t>
  </si>
  <si>
    <t>bch</t>
  </si>
  <si>
    <t>Bitcoin Cash</t>
  </si>
  <si>
    <t>xmr</t>
  </si>
  <si>
    <t>Monero</t>
  </si>
  <si>
    <t>link</t>
  </si>
  <si>
    <t>Chainlink</t>
  </si>
  <si>
    <t>cc</t>
  </si>
  <si>
    <t>Canton</t>
  </si>
  <si>
    <t>ton</t>
  </si>
  <si>
    <t>Toncoin</t>
  </si>
  <si>
    <t>xlm</t>
  </si>
  <si>
    <t>Stellar</t>
  </si>
  <si>
    <t>usd1</t>
  </si>
  <si>
    <t>USD1</t>
  </si>
  <si>
    <t>sui</t>
  </si>
  <si>
    <t>Sui</t>
  </si>
  <si>
    <t>usde</t>
  </si>
  <si>
    <t>Ethena USDe</t>
  </si>
  <si>
    <t>dai</t>
  </si>
  <si>
    <t>Dai</t>
  </si>
  <si>
    <t>ltc</t>
  </si>
  <si>
    <t>Litecoin</t>
  </si>
  <si>
    <t>avax</t>
  </si>
  <si>
    <t>Avalanche</t>
  </si>
  <si>
    <t>hbar</t>
  </si>
  <si>
    <t>Hedera</t>
  </si>
  <si>
    <t>m</t>
  </si>
  <si>
    <t>MemeCore</t>
  </si>
  <si>
    <t>pyusd</t>
  </si>
  <si>
    <t>PayPal USD</t>
  </si>
  <si>
    <t>rain</t>
  </si>
  <si>
    <t>Rain</t>
  </si>
  <si>
    <t>shib</t>
  </si>
  <si>
    <t>Shiba Inu</t>
  </si>
  <si>
    <t>cro</t>
  </si>
  <si>
    <t>Cronos</t>
  </si>
  <si>
    <t>usyc</t>
  </si>
  <si>
    <t>Circle USYC</t>
  </si>
  <si>
    <t>tao</t>
  </si>
  <si>
    <t>Bittensor</t>
  </si>
  <si>
    <t>xaut</t>
  </si>
  <si>
    <t>Tether Gold</t>
  </si>
  <si>
    <t>usdg</t>
  </si>
  <si>
    <t>Global Dollar</t>
  </si>
  <si>
    <t>buidl</t>
  </si>
  <si>
    <t>BlackRock USD Institutional Digital Liquidity Fund</t>
  </si>
  <si>
    <t>uni</t>
  </si>
  <si>
    <t>Uniswap</t>
  </si>
  <si>
    <t>near</t>
  </si>
  <si>
    <t>NEAR Protocol</t>
  </si>
  <si>
    <t>mnt</t>
  </si>
  <si>
    <t>Mantle</t>
  </si>
  <si>
    <t>usdy</t>
  </si>
  <si>
    <t>Ondo US Dollar Yield</t>
  </si>
  <si>
    <t>dot</t>
  </si>
  <si>
    <t>Polkadot</t>
  </si>
  <si>
    <t>paxg</t>
  </si>
  <si>
    <t>PAX Gold</t>
  </si>
  <si>
    <t>ondo</t>
  </si>
  <si>
    <t>Ondo</t>
  </si>
  <si>
    <t>wlfi</t>
  </si>
  <si>
    <t>World Liberty Financial</t>
  </si>
  <si>
    <t>aster</t>
  </si>
  <si>
    <t>Aster</t>
  </si>
  <si>
    <t>htx</t>
  </si>
  <si>
    <t>HTX DAO</t>
  </si>
  <si>
    <t>usdf</t>
  </si>
  <si>
    <t>Falcon USD</t>
  </si>
  <si>
    <t>rlusd</t>
  </si>
  <si>
    <t>Ripple USD</t>
  </si>
  <si>
    <t>okb</t>
  </si>
  <si>
    <t>OKB</t>
  </si>
  <si>
    <t>sky</t>
  </si>
  <si>
    <t>Sky</t>
  </si>
  <si>
    <t>pi</t>
  </si>
  <si>
    <t>Pi Network</t>
  </si>
  <si>
    <t>pepe</t>
  </si>
  <si>
    <t>Pepe</t>
  </si>
  <si>
    <t>usdd</t>
  </si>
  <si>
    <t>USDD</t>
  </si>
  <si>
    <t>icp</t>
  </si>
  <si>
    <t>Internet Computer</t>
  </si>
  <si>
    <t>etc</t>
  </si>
  <si>
    <t>Ethereum Classic</t>
  </si>
  <si>
    <t>bgb</t>
  </si>
  <si>
    <t>Bitget Token</t>
  </si>
  <si>
    <t>aave</t>
  </si>
  <si>
    <t>Aave</t>
  </si>
  <si>
    <t>bfusd</t>
  </si>
  <si>
    <t>BFUSD</t>
  </si>
  <si>
    <t>morpho</t>
  </si>
  <si>
    <t>Morpho</t>
  </si>
  <si>
    <t>usdtb</t>
  </si>
  <si>
    <t>USDtb</t>
  </si>
  <si>
    <t>kcs</t>
  </si>
  <si>
    <t>KuCoin</t>
  </si>
  <si>
    <t>qnt</t>
  </si>
  <si>
    <t>Quant</t>
  </si>
  <si>
    <t>atom</t>
  </si>
  <si>
    <t>Cosmos Hub</t>
  </si>
  <si>
    <t>eutbl</t>
  </si>
  <si>
    <t>Spiko EU T-Bills Money Market Fund</t>
  </si>
  <si>
    <t>algo</t>
  </si>
  <si>
    <t>Algorand</t>
  </si>
  <si>
    <t>u</t>
  </si>
  <si>
    <t>United Stables</t>
  </si>
  <si>
    <t>render</t>
  </si>
  <si>
    <t>Render</t>
  </si>
  <si>
    <t>jtrsy</t>
  </si>
  <si>
    <t>Janus Henderson Anemoy Treasury Fund</t>
  </si>
  <si>
    <t>ustb</t>
  </si>
  <si>
    <t>Superstate Short Duration U.S. Government Securities Fund (USTB)</t>
  </si>
  <si>
    <t>pol</t>
  </si>
  <si>
    <t>POL (ex-MATIC)</t>
  </si>
  <si>
    <t>ena</t>
  </si>
  <si>
    <t>Ethena</t>
  </si>
  <si>
    <t>bcap</t>
  </si>
  <si>
    <t>Blockchain Capital</t>
  </si>
  <si>
    <t>kas</t>
  </si>
  <si>
    <t>Kaspa</t>
  </si>
  <si>
    <t>wld</t>
  </si>
  <si>
    <t>Worldcoin</t>
  </si>
  <si>
    <t>nexo</t>
  </si>
  <si>
    <t>NEXO</t>
  </si>
  <si>
    <t>stable</t>
  </si>
  <si>
    <t>​​Stable</t>
  </si>
  <si>
    <t>jst</t>
  </si>
  <si>
    <t>JUST</t>
  </si>
  <si>
    <t>apt</t>
  </si>
  <si>
    <t>Aptos</t>
  </si>
  <si>
    <t>vvv</t>
  </si>
  <si>
    <t>Venice Token</t>
  </si>
  <si>
    <t>fil</t>
  </si>
  <si>
    <t>Filecoin</t>
  </si>
  <si>
    <t>gt</t>
  </si>
  <si>
    <t>Gate</t>
  </si>
  <si>
    <t>flr</t>
  </si>
  <si>
    <t>Flare</t>
  </si>
  <si>
    <t>xdc</t>
  </si>
  <si>
    <t>XDC Network</t>
  </si>
  <si>
    <t>jup</t>
  </si>
  <si>
    <t>Jupiter</t>
  </si>
  <si>
    <t>arb</t>
  </si>
  <si>
    <t>Arbitrum</t>
  </si>
  <si>
    <t>pump</t>
  </si>
  <si>
    <t>Pump.fun</t>
  </si>
  <si>
    <t>dexe</t>
  </si>
  <si>
    <t>DeXe</t>
  </si>
  <si>
    <t>dash</t>
  </si>
  <si>
    <t>Dash</t>
  </si>
  <si>
    <t>bdx</t>
  </si>
  <si>
    <t>Beldex</t>
  </si>
  <si>
    <t>pengu</t>
  </si>
  <si>
    <t>Pudgy Penguins</t>
  </si>
  <si>
    <t>gho</t>
  </si>
  <si>
    <t>GHO</t>
  </si>
  <si>
    <t>vet</t>
  </si>
  <si>
    <t>VeChain</t>
  </si>
  <si>
    <t>ousg</t>
  </si>
  <si>
    <t>OUSG</t>
  </si>
  <si>
    <t>usd0</t>
  </si>
  <si>
    <t>Usual USD</t>
  </si>
  <si>
    <t>bonk</t>
  </si>
  <si>
    <t>Bonk</t>
  </si>
  <si>
    <t>kite</t>
  </si>
  <si>
    <t>Kite</t>
  </si>
  <si>
    <t>hash</t>
  </si>
  <si>
    <t>Provenance Blockchain</t>
  </si>
  <si>
    <t>a7a5</t>
  </si>
  <si>
    <t>A7A5</t>
  </si>
  <si>
    <t>ylds</t>
  </si>
  <si>
    <t>YLDS</t>
  </si>
  <si>
    <t>night</t>
  </si>
  <si>
    <t>Midnight</t>
  </si>
  <si>
    <t>inj</t>
  </si>
  <si>
    <t>Injective</t>
  </si>
  <si>
    <t>tusd</t>
  </si>
  <si>
    <t>TrueUSD</t>
  </si>
  <si>
    <t>apxusd</t>
  </si>
  <si>
    <t>apxUSD</t>
  </si>
  <si>
    <t>trump</t>
  </si>
  <si>
    <t>Official Trump</t>
  </si>
  <si>
    <t>edge</t>
  </si>
  <si>
    <t>edgeX</t>
  </si>
  <si>
    <t>virtual</t>
  </si>
  <si>
    <t>Virtuals Protocol</t>
  </si>
  <si>
    <t>cake</t>
  </si>
  <si>
    <t>PancakeSwap</t>
  </si>
  <si>
    <t>h</t>
  </si>
  <si>
    <t>Humanity</t>
  </si>
  <si>
    <t>stx</t>
  </si>
  <si>
    <t>Stacks</t>
  </si>
  <si>
    <t>chz</t>
  </si>
  <si>
    <t>Chiliz</t>
  </si>
  <si>
    <t>fet</t>
  </si>
  <si>
    <t>Artificial Superintelligence Alliance</t>
  </si>
  <si>
    <t>币安人生</t>
  </si>
  <si>
    <t>币安人生 (BinanceLife)</t>
  </si>
  <si>
    <t>eurc</t>
  </si>
  <si>
    <t>EURC</t>
  </si>
  <si>
    <t>jaaa</t>
  </si>
  <si>
    <t>Janus Henderson Anemoy AAA CLO Fund</t>
  </si>
  <si>
    <t>lunc</t>
  </si>
  <si>
    <t>Terra Luna Classic</t>
  </si>
  <si>
    <t>eursafo</t>
  </si>
  <si>
    <t>Spiko Amundi Overnight Swap Fund (EUR)</t>
  </si>
  <si>
    <t>sei</t>
  </si>
  <si>
    <t>Sei</t>
  </si>
  <si>
    <t>adi</t>
  </si>
  <si>
    <t>ADI</t>
  </si>
  <si>
    <t>usx</t>
  </si>
  <si>
    <t>USX</t>
  </si>
  <si>
    <t>aero</t>
  </si>
  <si>
    <t>Aerodrome Finance</t>
  </si>
  <si>
    <t>sun</t>
  </si>
  <si>
    <t>Sun Token</t>
  </si>
  <si>
    <t>2z</t>
  </si>
  <si>
    <t>DoubleZero</t>
  </si>
  <si>
    <t>xtz</t>
  </si>
  <si>
    <t>Tezos</t>
  </si>
  <si>
    <t>fdusd</t>
  </si>
  <si>
    <t>First Digital USD</t>
  </si>
  <si>
    <t>siren</t>
  </si>
  <si>
    <t>Siren</t>
  </si>
  <si>
    <t>tia</t>
  </si>
  <si>
    <t>Celestia</t>
  </si>
  <si>
    <t>nex</t>
  </si>
  <si>
    <t>Nexus</t>
  </si>
  <si>
    <t>spx</t>
  </si>
  <si>
    <t>SPX6900</t>
  </si>
  <si>
    <t>crv</t>
  </si>
  <si>
    <t>Curve DAO</t>
  </si>
  <si>
    <t>lit</t>
  </si>
  <si>
    <t>Lighter</t>
  </si>
  <si>
    <t>zro</t>
  </si>
  <si>
    <t>LayerZero</t>
  </si>
  <si>
    <t>kau</t>
  </si>
  <si>
    <t>Kinesis Gold</t>
  </si>
  <si>
    <t>skyai</t>
  </si>
  <si>
    <t>SkyAI</t>
  </si>
  <si>
    <t>ethfi</t>
  </si>
  <si>
    <t>Ether.fi</t>
  </si>
  <si>
    <t>lab</t>
  </si>
  <si>
    <t>LAB</t>
  </si>
  <si>
    <t>usdgo</t>
  </si>
  <si>
    <t>USDGO</t>
  </si>
  <si>
    <t>pyth</t>
  </si>
  <si>
    <t>Pyth Network</t>
  </si>
  <si>
    <t>mon</t>
  </si>
  <si>
    <t>Monad</t>
  </si>
  <si>
    <t>9bit</t>
  </si>
  <si>
    <t>The9bit</t>
  </si>
  <si>
    <t>btt</t>
  </si>
  <si>
    <t>BitTorrent</t>
  </si>
  <si>
    <t>pendle</t>
  </si>
  <si>
    <t>Pendle</t>
  </si>
  <si>
    <t>gno</t>
  </si>
  <si>
    <t>Gnosis</t>
  </si>
  <si>
    <t>kaia</t>
  </si>
  <si>
    <t>Kaia</t>
  </si>
  <si>
    <t>prime</t>
  </si>
  <si>
    <t>PRIME</t>
  </si>
  <si>
    <t>ldo</t>
  </si>
  <si>
    <t>Lido DAO</t>
  </si>
  <si>
    <t>dcr</t>
  </si>
  <si>
    <t>Decred</t>
  </si>
  <si>
    <t>bsv</t>
  </si>
  <si>
    <t>Bitcoin SV</t>
  </si>
  <si>
    <t>b</t>
  </si>
  <si>
    <t>BUILDon</t>
  </si>
  <si>
    <t>tel</t>
  </si>
  <si>
    <t>Telcoin</t>
  </si>
  <si>
    <t>cfx</t>
  </si>
  <si>
    <t>Conflux</t>
  </si>
  <si>
    <t>floki</t>
  </si>
  <si>
    <t>FLOKI</t>
  </si>
  <si>
    <t>zbcn</t>
  </si>
  <si>
    <t>Zebec Network</t>
  </si>
  <si>
    <t>usdai</t>
  </si>
  <si>
    <t>USDai</t>
  </si>
  <si>
    <t>jasmy</t>
  </si>
  <si>
    <t>JasmyCoin</t>
  </si>
  <si>
    <t>ohm</t>
  </si>
  <si>
    <t>Olympus</t>
  </si>
  <si>
    <t>kag</t>
  </si>
  <si>
    <t>Kinesis Silver</t>
  </si>
  <si>
    <t>nft</t>
  </si>
  <si>
    <t>AINFT</t>
  </si>
  <si>
    <t>strk</t>
  </si>
  <si>
    <t>Starknet</t>
  </si>
  <si>
    <t>op</t>
  </si>
  <si>
    <t>Optimism</t>
  </si>
  <si>
    <t>grt</t>
  </si>
  <si>
    <t>The Graph</t>
  </si>
  <si>
    <t>frax</t>
  </si>
  <si>
    <t>Legacy Frax Dollar</t>
  </si>
  <si>
    <t>gwei</t>
  </si>
  <si>
    <t>ETHGas</t>
  </si>
  <si>
    <t>ub</t>
  </si>
  <si>
    <t>Unibase</t>
  </si>
  <si>
    <t>ens</t>
  </si>
  <si>
    <t>Ethereum Name Service</t>
  </si>
  <si>
    <t>iota</t>
  </si>
  <si>
    <t>IOTA</t>
  </si>
  <si>
    <t>rusd</t>
  </si>
  <si>
    <t>Royal Dollar</t>
  </si>
  <si>
    <t>usdm</t>
  </si>
  <si>
    <t>MegaUSD</t>
  </si>
  <si>
    <t>apepe</t>
  </si>
  <si>
    <t>Ape and Pepe</t>
  </si>
  <si>
    <t>jto</t>
  </si>
  <si>
    <t>Jito</t>
  </si>
  <si>
    <t>syrup</t>
  </si>
  <si>
    <t>Maple Finance</t>
  </si>
  <si>
    <t>real</t>
  </si>
  <si>
    <t>RealLink</t>
  </si>
  <si>
    <t>akt</t>
  </si>
  <si>
    <t>Akash Network</t>
  </si>
  <si>
    <t>crvusd</t>
  </si>
  <si>
    <t>crvUSD</t>
  </si>
  <si>
    <t>comp</t>
  </si>
  <si>
    <t>Compound</t>
  </si>
  <si>
    <t>xpl</t>
  </si>
  <si>
    <t>Plasma</t>
  </si>
  <si>
    <t>usda</t>
  </si>
  <si>
    <t>USDa</t>
  </si>
  <si>
    <t>ff</t>
  </si>
  <si>
    <t>Falcon Finance</t>
  </si>
  <si>
    <t>axs</t>
  </si>
  <si>
    <t>Axie Infinity</t>
  </si>
  <si>
    <t>ray</t>
  </si>
  <si>
    <t>Raydium</t>
  </si>
  <si>
    <t>bsb</t>
  </si>
  <si>
    <t>Block Street</t>
  </si>
  <si>
    <t>grass</t>
  </si>
  <si>
    <t>Grass</t>
  </si>
  <si>
    <t>theta</t>
  </si>
  <si>
    <t>Theta Network</t>
  </si>
  <si>
    <t>neo</t>
  </si>
  <si>
    <t>NEO</t>
  </si>
  <si>
    <t>pc0000031</t>
  </si>
  <si>
    <t>Tradable NA Rent Financing Platform SSTN</t>
  </si>
  <si>
    <t>pieverse</t>
  </si>
  <si>
    <t>Pieverse</t>
  </si>
  <si>
    <t>wif</t>
  </si>
  <si>
    <t>dogwifhat</t>
  </si>
  <si>
    <t>trac</t>
  </si>
  <si>
    <t>OriginTrail</t>
  </si>
  <si>
    <t>twt</t>
  </si>
  <si>
    <t>Trust Wallet</t>
  </si>
  <si>
    <t>sand</t>
  </si>
  <si>
    <t>The Sandbox</t>
  </si>
  <si>
    <t>bill</t>
  </si>
  <si>
    <t>Billions Network</t>
  </si>
  <si>
    <t>fartcoin</t>
  </si>
  <si>
    <t>Fartcoin</t>
  </si>
  <si>
    <t>uds</t>
  </si>
  <si>
    <t>Undeads Games</t>
  </si>
  <si>
    <t>btse</t>
  </si>
  <si>
    <t>BTSE Token</t>
  </si>
  <si>
    <t>xcn</t>
  </si>
  <si>
    <t>Onyxcoin</t>
  </si>
  <si>
    <t>reusd</t>
  </si>
  <si>
    <t>Re Protocol reUSD</t>
  </si>
  <si>
    <t>apyusd</t>
  </si>
  <si>
    <t>apyUSD</t>
  </si>
  <si>
    <t>onyc</t>
  </si>
  <si>
    <t>Onchain Yield Coin</t>
  </si>
  <si>
    <t>Symbol</t>
  </si>
  <si>
    <t>Volume_24h</t>
  </si>
  <si>
    <t>Market_cap</t>
  </si>
  <si>
    <t>Circulating_supply</t>
  </si>
  <si>
    <t>Change_24h</t>
  </si>
  <si>
    <t>Change_1h</t>
  </si>
  <si>
    <t>Change_7d</t>
  </si>
  <si>
    <t>Name</t>
  </si>
  <si>
    <t>Current_price</t>
  </si>
  <si>
    <t>First_Letter</t>
  </si>
  <si>
    <t>Valid_Start</t>
  </si>
  <si>
    <t>Price_Group</t>
  </si>
  <si>
    <t>Avg_Downfall</t>
  </si>
  <si>
    <t>Row Labels</t>
  </si>
  <si>
    <t>Grand Total</t>
  </si>
  <si>
    <t>TRUE</t>
  </si>
  <si>
    <t>Sum of Volume_24h</t>
  </si>
  <si>
    <t>Coin 1</t>
  </si>
  <si>
    <t>Coin 2</t>
  </si>
  <si>
    <t>Metric</t>
  </si>
  <si>
    <t>Price</t>
  </si>
  <si>
    <t>Volume</t>
  </si>
  <si>
    <t>Market Cap</t>
  </si>
  <si>
    <t>Circulating Supply</t>
  </si>
  <si>
    <t>Crypto Coin Comparison Dashboard</t>
  </si>
  <si>
    <t>Volume Difference</t>
  </si>
  <si>
    <t>Market Cap Difference</t>
  </si>
  <si>
    <t>Supply Difference</t>
  </si>
  <si>
    <t>(All)</t>
  </si>
  <si>
    <t>Coin</t>
  </si>
  <si>
    <t>Total Volume</t>
  </si>
  <si>
    <t>Top5 Sum</t>
  </si>
  <si>
    <t>Others</t>
  </si>
  <si>
    <t>Top 5 Crypto Liquidity Analysis</t>
  </si>
  <si>
    <t>Previous_1h_Price</t>
  </si>
  <si>
    <t>Price_Change</t>
  </si>
  <si>
    <t>Price_Group_Task3</t>
  </si>
  <si>
    <t>Price_Filter_Task4</t>
  </si>
  <si>
    <t>Sum of Current_price</t>
  </si>
  <si>
    <t>Sum of Change_1h</t>
  </si>
  <si>
    <t>Sum of Previous_1h_Price</t>
  </si>
  <si>
    <t>Price_Filter</t>
  </si>
  <si>
    <t>Sum of Price_Change</t>
  </si>
  <si>
    <t>Up to $10</t>
  </si>
  <si>
    <t>Price_Range</t>
  </si>
  <si>
    <t>Price_7D</t>
  </si>
  <si>
    <t>Price_24H</t>
  </si>
  <si>
    <t>Sum of Price_7D</t>
  </si>
  <si>
    <t>Sum of Price_24H</t>
  </si>
  <si>
    <t>0-5</t>
  </si>
  <si>
    <t>Sum of Avg_Downfall</t>
  </si>
  <si>
    <t>Current Price</t>
  </si>
  <si>
    <t>Avg Downfall</t>
  </si>
  <si>
    <t>Total Coins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</si>
</sst>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164" formatCode="_-[$$-409]* #,##0.00_ ;_-[$$-409]* \-#,##0.00\ ;_-[$$-409]* &quot;-&quot;??_ ;_-@_ "/>
    <numFmt numFmtId="165" formatCode="&quot;₹&quot;\ #,##0.00"/>
  </numFmts>
  <fonts count="9" x14ac:knownFonts="1">
    <font>
      <sz val="11"/>
      <color theme="1"/>
      <name val="Calibri"/>
      <family val="2"/>
      <scheme val="minor"/>
    </font>
    <font>
      <b/>
      <sz val="11"/>
      <color theme="1"/>
      <name val="Calibri"/>
      <family val="2"/>
      <scheme val="minor"/>
    </font>
    <font>
      <sz val="11"/>
      <color theme="1"/>
      <name val="Calibri"/>
      <family val="2"/>
      <scheme val="minor"/>
    </font>
    <font>
      <b/>
      <sz val="14"/>
      <color theme="1"/>
      <name val="Calibri"/>
      <family val="2"/>
      <scheme val="minor"/>
    </font>
    <font>
      <sz val="14"/>
      <color theme="1"/>
      <name val="Calibri"/>
      <family val="2"/>
      <scheme val="minor"/>
    </font>
    <font>
      <b/>
      <sz val="14"/>
      <color rgb="FF00B050"/>
      <name val="Calibri"/>
      <family val="2"/>
      <scheme val="minor"/>
    </font>
    <font>
      <b/>
      <sz val="11"/>
      <color rgb="FF00B050"/>
      <name val="Calibri"/>
      <family val="2"/>
      <scheme val="minor"/>
    </font>
    <font>
      <sz val="8"/>
      <name val="Calibri"/>
      <family val="2"/>
      <scheme val="minor"/>
    </font>
    <font>
      <b/>
      <sz val="11"/>
      <color theme="0"/>
      <name val="Calibri"/>
      <family val="2"/>
      <scheme val="minor"/>
    </font>
  </fonts>
  <fills count="4">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44" fontId="2" fillId="0" borderId="0" applyFont="0" applyFill="0" applyBorder="0" applyAlignment="0" applyProtection="0"/>
  </cellStyleXfs>
  <cellXfs count="24">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applyAlignment="1">
      <alignment wrapText="1"/>
    </xf>
    <xf numFmtId="0" fontId="0" fillId="0" borderId="0" xfId="0" pivotButton="1"/>
    <xf numFmtId="0" fontId="0" fillId="0" borderId="0" xfId="0" applyAlignment="1">
      <alignment horizontal="left"/>
    </xf>
    <xf numFmtId="165" fontId="0" fillId="0" borderId="0" xfId="0" applyNumberFormat="1"/>
    <xf numFmtId="0" fontId="0" fillId="0" borderId="0" xfId="0" applyAlignment="1">
      <alignment horizontal="left" indent="1"/>
    </xf>
    <xf numFmtId="0" fontId="1" fillId="0" borderId="1" xfId="0" applyFont="1" applyBorder="1" applyAlignment="1">
      <alignment horizontal="left" indent="1"/>
    </xf>
    <xf numFmtId="164" fontId="1" fillId="0" borderId="1" xfId="0" applyNumberFormat="1" applyFont="1" applyBorder="1" applyAlignment="1">
      <alignment horizontal="left" indent="1"/>
    </xf>
    <xf numFmtId="0" fontId="1" fillId="0" borderId="1" xfId="0" applyFont="1" applyBorder="1" applyAlignment="1">
      <alignment horizontal="left" wrapText="1" indent="1"/>
    </xf>
    <xf numFmtId="164" fontId="1" fillId="0" borderId="1" xfId="1" applyNumberFormat="1" applyFont="1" applyBorder="1" applyAlignment="1">
      <alignment horizontal="left" indent="1"/>
    </xf>
    <xf numFmtId="0" fontId="5" fillId="0" borderId="0" xfId="0" applyFont="1"/>
    <xf numFmtId="0" fontId="6" fillId="0" borderId="0" xfId="0" applyFont="1"/>
    <xf numFmtId="0" fontId="0" fillId="0" borderId="0" xfId="0" applyAlignment="1">
      <alignment horizontal="center"/>
    </xf>
    <xf numFmtId="0" fontId="8" fillId="2" borderId="2" xfId="0" applyFont="1" applyFill="1" applyBorder="1"/>
    <xf numFmtId="0" fontId="0" fillId="3" borderId="2" xfId="0" applyFill="1" applyBorder="1"/>
    <xf numFmtId="0" fontId="0" fillId="0" borderId="2" xfId="0" applyBorder="1"/>
    <xf numFmtId="0" fontId="8" fillId="2" borderId="2" xfId="0" applyFont="1" applyFill="1" applyBorder="1" applyAlignment="1">
      <alignment wrapText="1"/>
    </xf>
    <xf numFmtId="0" fontId="8" fillId="2" borderId="0" xfId="0" applyFont="1" applyFill="1"/>
    <xf numFmtId="0" fontId="0" fillId="3" borderId="2" xfId="0" applyFill="1" applyBorder="1" applyAlignment="1">
      <alignment wrapText="1"/>
    </xf>
    <xf numFmtId="0" fontId="0" fillId="0" borderId="2" xfId="0" applyBorder="1" applyAlignment="1">
      <alignment wrapText="1"/>
    </xf>
    <xf numFmtId="0" fontId="3" fillId="0" borderId="0" xfId="0" applyFont="1" applyAlignment="1">
      <alignment horizontal="left" wrapText="1" indent="1"/>
    </xf>
    <xf numFmtId="0" fontId="4" fillId="0" borderId="0" xfId="0" applyFont="1" applyAlignment="1">
      <alignment horizontal="left" wrapText="1" indent="1"/>
    </xf>
  </cellXfs>
  <cellStyles count="2">
    <cellStyle name="Currency" xfId="1" builtinId="4"/>
    <cellStyle name="Normal" xfId="0" builtinId="0"/>
  </cellStyles>
  <dxfs count="35">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border diagonalUp="0" diagonalDown="0">
        <left/>
        <right/>
        <top style="thin">
          <color theme="9" tint="0.39997558519241921"/>
        </top>
        <bottom style="thin">
          <color theme="9" tint="0.39997558519241921"/>
        </bottom>
        <vertical/>
        <horizontal/>
      </border>
    </dxf>
    <dxf>
      <border outline="0">
        <left style="thin">
          <color theme="9" tint="0.39997558519241921"/>
        </left>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color rgb="FF006100"/>
      </font>
      <fill>
        <patternFill>
          <bgColor rgb="FFC6EFCE"/>
        </patternFill>
      </fill>
    </dxf>
    <dxf>
      <font>
        <color rgb="FF006100"/>
      </font>
      <fill>
        <patternFill>
          <bgColor rgb="FFC6EF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[CryptoCurrency_AI_Final.xlsx.xlsm]Dashboard_1!PivotTable1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Crypto Coins by 24h Volume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Dashboard_1!$B$5</c:f>
              <c:strCache>
                <c:ptCount val="1"/>
                <c:pt idx="0">
                  <c:v>Total</c:v>
                </c:pt>
              </c:strCache>
            </c:strRef>
          </c:tx>
          <c:spPr>
            <a:solidFill>
              <a:schemeClr val="accent1"/>
            </a:solidFill>
            <a:ln>
              <a:noFill/>
            </a:ln>
            <a:effectLst/>
          </c:spPr>
          <c:invertIfNegative val="0"/>
          <c:cat>
            <c:strRef>
              <c:f>Dashboard_1!$A$6:$A$16</c:f>
              <c:strCache>
                <c:ptCount val="10"/>
                <c:pt idx="0">
                  <c:v>Bitcoin</c:v>
                </c:pt>
                <c:pt idx="1">
                  <c:v>Bitcoin Cash</c:v>
                </c:pt>
                <c:pt idx="2">
                  <c:v>BNB</c:v>
                </c:pt>
                <c:pt idx="3">
                  <c:v>Cardano</c:v>
                </c:pt>
                <c:pt idx="4">
                  <c:v>Chainlink</c:v>
                </c:pt>
                <c:pt idx="5">
                  <c:v>Dogecoin</c:v>
                </c:pt>
                <c:pt idx="6">
                  <c:v>Ethereum</c:v>
                </c:pt>
                <c:pt idx="7">
                  <c:v>Ondo</c:v>
                </c:pt>
                <c:pt idx="8">
                  <c:v>USD1</c:v>
                </c:pt>
                <c:pt idx="9">
                  <c:v>USDC</c:v>
                </c:pt>
              </c:strCache>
            </c:strRef>
          </c:cat>
          <c:val>
            <c:numRef>
              <c:f>Dashboard_1!$B$6:$B$16</c:f>
              <c:numCache>
                <c:formatCode>General</c:formatCode>
                <c:ptCount val="10"/>
                <c:pt idx="0">
                  <c:v>27706270538</c:v>
                </c:pt>
                <c:pt idx="1">
                  <c:v>374857426</c:v>
                </c:pt>
                <c:pt idx="2">
                  <c:v>621619496</c:v>
                </c:pt>
                <c:pt idx="3">
                  <c:v>336057058</c:v>
                </c:pt>
                <c:pt idx="4">
                  <c:v>299620032</c:v>
                </c:pt>
                <c:pt idx="5">
                  <c:v>690699522</c:v>
                </c:pt>
                <c:pt idx="6">
                  <c:v>11467644219</c:v>
                </c:pt>
                <c:pt idx="7">
                  <c:v>257627665</c:v>
                </c:pt>
                <c:pt idx="8">
                  <c:v>2185445563</c:v>
                </c:pt>
                <c:pt idx="9">
                  <c:v>12637332810</c:v>
                </c:pt>
              </c:numCache>
            </c:numRef>
          </c:val>
          <c:extLst>
            <c:ext xmlns:c16="http://schemas.microsoft.com/office/drawing/2014/chart" uri="{C3380CC4-5D6E-409C-BE32-E72D297353CC}">
              <c16:uniqueId val="{00000000-3ED9-4AF7-9C3F-D6FD594F097B}"/>
            </c:ext>
          </c:extLst>
        </c:ser>
        <c:dLbls>
          <c:showLegendKey val="0"/>
          <c:showVal val="0"/>
          <c:showCatName val="0"/>
          <c:showSerName val="0"/>
          <c:showPercent val="0"/>
          <c:showBubbleSize val="0"/>
        </c:dLbls>
        <c:gapWidth val="182"/>
        <c:axId val="1109338943"/>
        <c:axId val="1109332223"/>
      </c:barChart>
      <c:catAx>
        <c:axId val="1109338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332223"/>
        <c:crosses val="autoZero"/>
        <c:auto val="1"/>
        <c:lblAlgn val="ctr"/>
        <c:lblOffset val="100"/>
        <c:noMultiLvlLbl val="0"/>
      </c:catAx>
      <c:valAx>
        <c:axId val="11093322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338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[CryptoCurrency_AI_Final.xlsx.xlsm]Dashboard_1!PivotTable1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a:t>
            </a:r>
            <a:r>
              <a:rPr lang="en-IN" baseline="0"/>
              <a:t> sum of voulme by 24h</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Dashboard_1!$B$5</c:f>
              <c:strCache>
                <c:ptCount val="1"/>
                <c:pt idx="0">
                  <c:v>Total</c:v>
                </c:pt>
              </c:strCache>
            </c:strRef>
          </c:tx>
          <c:spPr>
            <a:solidFill>
              <a:schemeClr val="accent1"/>
            </a:solidFill>
            <a:ln>
              <a:noFill/>
            </a:ln>
            <a:effectLst/>
          </c:spPr>
          <c:invertIfNegative val="0"/>
          <c:cat>
            <c:strRef>
              <c:f>Dashboard_1!$A$6:$A$16</c:f>
              <c:strCache>
                <c:ptCount val="10"/>
                <c:pt idx="0">
                  <c:v>Bitcoin</c:v>
                </c:pt>
                <c:pt idx="1">
                  <c:v>Bitcoin Cash</c:v>
                </c:pt>
                <c:pt idx="2">
                  <c:v>BNB</c:v>
                </c:pt>
                <c:pt idx="3">
                  <c:v>Cardano</c:v>
                </c:pt>
                <c:pt idx="4">
                  <c:v>Chainlink</c:v>
                </c:pt>
                <c:pt idx="5">
                  <c:v>Dogecoin</c:v>
                </c:pt>
                <c:pt idx="6">
                  <c:v>Ethereum</c:v>
                </c:pt>
                <c:pt idx="7">
                  <c:v>Ondo</c:v>
                </c:pt>
                <c:pt idx="8">
                  <c:v>USD1</c:v>
                </c:pt>
                <c:pt idx="9">
                  <c:v>USDC</c:v>
                </c:pt>
              </c:strCache>
            </c:strRef>
          </c:cat>
          <c:val>
            <c:numRef>
              <c:f>Dashboard_1!$B$6:$B$16</c:f>
              <c:numCache>
                <c:formatCode>General</c:formatCode>
                <c:ptCount val="10"/>
                <c:pt idx="0">
                  <c:v>27706270538</c:v>
                </c:pt>
                <c:pt idx="1">
                  <c:v>374857426</c:v>
                </c:pt>
                <c:pt idx="2">
                  <c:v>621619496</c:v>
                </c:pt>
                <c:pt idx="3">
                  <c:v>336057058</c:v>
                </c:pt>
                <c:pt idx="4">
                  <c:v>299620032</c:v>
                </c:pt>
                <c:pt idx="5">
                  <c:v>690699522</c:v>
                </c:pt>
                <c:pt idx="6">
                  <c:v>11467644219</c:v>
                </c:pt>
                <c:pt idx="7">
                  <c:v>257627665</c:v>
                </c:pt>
                <c:pt idx="8">
                  <c:v>2185445563</c:v>
                </c:pt>
                <c:pt idx="9">
                  <c:v>12637332810</c:v>
                </c:pt>
              </c:numCache>
            </c:numRef>
          </c:val>
          <c:extLst>
            <c:ext xmlns:c16="http://schemas.microsoft.com/office/drawing/2014/chart" uri="{C3380CC4-5D6E-409C-BE32-E72D297353CC}">
              <c16:uniqueId val="{00000000-7CFF-4593-BFAC-6B56DB985804}"/>
            </c:ext>
          </c:extLst>
        </c:ser>
        <c:dLbls>
          <c:showLegendKey val="0"/>
          <c:showVal val="0"/>
          <c:showCatName val="0"/>
          <c:showSerName val="0"/>
          <c:showPercent val="0"/>
          <c:showBubbleSize val="0"/>
        </c:dLbls>
        <c:gapWidth val="182"/>
        <c:axId val="1984664111"/>
        <c:axId val="1984674191"/>
      </c:barChart>
      <c:catAx>
        <c:axId val="1984664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674191"/>
        <c:crosses val="autoZero"/>
        <c:auto val="1"/>
        <c:lblAlgn val="ctr"/>
        <c:lblOffset val="100"/>
        <c:noMultiLvlLbl val="0"/>
      </c:catAx>
      <c:valAx>
        <c:axId val="19846741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66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4201421697287837"/>
          <c:y val="0.19828888576427947"/>
          <c:w val="0.34930511811023623"/>
          <c:h val="0.62375913948256467"/>
        </c:manualLayout>
      </c:layout>
      <c:pieChart>
        <c:varyColors val="1"/>
        <c:ser>
          <c:idx val="0"/>
          <c:order val="0"/>
          <c:tx>
            <c:strRef>
              <c:f>Liquidity_Helper!$B$1</c:f>
              <c:strCache>
                <c:ptCount val="1"/>
                <c:pt idx="0">
                  <c:v>Volume</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B6C-4CD9-A205-0099F5725972}"/>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B6C-4CD9-A205-0099F5725972}"/>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EB6C-4CD9-A205-0099F5725972}"/>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EB6C-4CD9-A205-0099F5725972}"/>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EB6C-4CD9-A205-0099F5725972}"/>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EB6C-4CD9-A205-0099F572597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Liquidity_Helper!$A$2:$A$7</c:f>
              <c:strCache>
                <c:ptCount val="6"/>
                <c:pt idx="0">
                  <c:v>Bitcoin</c:v>
                </c:pt>
                <c:pt idx="1">
                  <c:v>Ethereum</c:v>
                </c:pt>
                <c:pt idx="2">
                  <c:v>Hyperliquid</c:v>
                </c:pt>
                <c:pt idx="3">
                  <c:v>Solana</c:v>
                </c:pt>
                <c:pt idx="4">
                  <c:v>Sui</c:v>
                </c:pt>
                <c:pt idx="5">
                  <c:v>Others</c:v>
                </c:pt>
              </c:strCache>
            </c:strRef>
          </c:cat>
          <c:val>
            <c:numRef>
              <c:f>Liquidity_Helper!$B$2:$B$7</c:f>
              <c:numCache>
                <c:formatCode>General</c:formatCode>
                <c:ptCount val="6"/>
                <c:pt idx="0">
                  <c:v>27706270538</c:v>
                </c:pt>
                <c:pt idx="1">
                  <c:v>11467644219</c:v>
                </c:pt>
                <c:pt idx="2">
                  <c:v>1363799400</c:v>
                </c:pt>
                <c:pt idx="3">
                  <c:v>3111805213</c:v>
                </c:pt>
                <c:pt idx="4">
                  <c:v>768028698</c:v>
                </c:pt>
                <c:pt idx="5">
                  <c:v>79071689759.860001</c:v>
                </c:pt>
              </c:numCache>
            </c:numRef>
          </c:val>
          <c:extLst>
            <c:ext xmlns:c16="http://schemas.microsoft.com/office/drawing/2014/chart" uri="{C3380CC4-5D6E-409C-BE32-E72D297353CC}">
              <c16:uniqueId val="{0000000C-EB6C-4CD9-A205-0099F572597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[CryptoCurrency_AI_Final.xlsx.xlsm]Dashboard_4_New!PivotTable1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Dashboard_4_New!$B$3</c:f>
              <c:strCache>
                <c:ptCount val="1"/>
                <c:pt idx="0">
                  <c:v>Sum of Current_price</c:v>
                </c:pt>
              </c:strCache>
            </c:strRef>
          </c:tx>
          <c:spPr>
            <a:solidFill>
              <a:schemeClr val="accent1"/>
            </a:solidFill>
            <a:ln>
              <a:noFill/>
            </a:ln>
            <a:effectLst/>
          </c:spPr>
          <c:invertIfNegative val="0"/>
          <c:cat>
            <c:strRef>
              <c:f>Dashboard_4_New!$A$4:$A$14</c:f>
              <c:strCache>
                <c:ptCount val="10"/>
                <c:pt idx="0">
                  <c:v>Lighter</c:v>
                </c:pt>
                <c:pt idx="1">
                  <c:v>Aster</c:v>
                </c:pt>
                <c:pt idx="2">
                  <c:v>KuCoin</c:v>
                </c:pt>
                <c:pt idx="3">
                  <c:v>edgeX</c:v>
                </c:pt>
                <c:pt idx="4">
                  <c:v>Ondo US Dollar Yield</c:v>
                </c:pt>
                <c:pt idx="5">
                  <c:v>Pieverse</c:v>
                </c:pt>
                <c:pt idx="6">
                  <c:v>USDai</c:v>
                </c:pt>
                <c:pt idx="7">
                  <c:v>币安人生 (BinanceLife)</c:v>
                </c:pt>
                <c:pt idx="8">
                  <c:v>ADI</c:v>
                </c:pt>
                <c:pt idx="9">
                  <c:v>Maple Finance</c:v>
                </c:pt>
              </c:strCache>
            </c:strRef>
          </c:cat>
          <c:val>
            <c:numRef>
              <c:f>Dashboard_4_New!$B$4:$B$14</c:f>
              <c:numCache>
                <c:formatCode>General</c:formatCode>
                <c:ptCount val="10"/>
                <c:pt idx="0">
                  <c:v>1.42</c:v>
                </c:pt>
                <c:pt idx="1">
                  <c:v>0.71816000000000002</c:v>
                </c:pt>
                <c:pt idx="2">
                  <c:v>8</c:v>
                </c:pt>
                <c:pt idx="3">
                  <c:v>1.38</c:v>
                </c:pt>
                <c:pt idx="4">
                  <c:v>1.1299999999999999</c:v>
                </c:pt>
                <c:pt idx="5">
                  <c:v>0.74696399999999996</c:v>
                </c:pt>
                <c:pt idx="6">
                  <c:v>1.0009999999999999</c:v>
                </c:pt>
                <c:pt idx="7">
                  <c:v>0.43762800000000002</c:v>
                </c:pt>
                <c:pt idx="8">
                  <c:v>3.88</c:v>
                </c:pt>
                <c:pt idx="9">
                  <c:v>0.20146600000000001</c:v>
                </c:pt>
              </c:numCache>
            </c:numRef>
          </c:val>
          <c:extLst>
            <c:ext xmlns:c16="http://schemas.microsoft.com/office/drawing/2014/chart" uri="{C3380CC4-5D6E-409C-BE32-E72D297353CC}">
              <c16:uniqueId val="{00000000-A774-443D-B071-B939BC260D5A}"/>
            </c:ext>
          </c:extLst>
        </c:ser>
        <c:ser>
          <c:idx val="1"/>
          <c:order val="1"/>
          <c:tx>
            <c:strRef>
              <c:f>Dashboard_4_New!$C$3</c:f>
              <c:strCache>
                <c:ptCount val="1"/>
                <c:pt idx="0">
                  <c:v>Sum of Previous_1h_Price</c:v>
                </c:pt>
              </c:strCache>
            </c:strRef>
          </c:tx>
          <c:spPr>
            <a:solidFill>
              <a:schemeClr val="accent2"/>
            </a:solidFill>
            <a:ln>
              <a:noFill/>
            </a:ln>
            <a:effectLst/>
          </c:spPr>
          <c:invertIfNegative val="0"/>
          <c:cat>
            <c:strRef>
              <c:f>Dashboard_4_New!$A$4:$A$14</c:f>
              <c:strCache>
                <c:ptCount val="10"/>
                <c:pt idx="0">
                  <c:v>Lighter</c:v>
                </c:pt>
                <c:pt idx="1">
                  <c:v>Aster</c:v>
                </c:pt>
                <c:pt idx="2">
                  <c:v>KuCoin</c:v>
                </c:pt>
                <c:pt idx="3">
                  <c:v>edgeX</c:v>
                </c:pt>
                <c:pt idx="4">
                  <c:v>Ondo US Dollar Yield</c:v>
                </c:pt>
                <c:pt idx="5">
                  <c:v>Pieverse</c:v>
                </c:pt>
                <c:pt idx="6">
                  <c:v>USDai</c:v>
                </c:pt>
                <c:pt idx="7">
                  <c:v>币安人生 (BinanceLife)</c:v>
                </c:pt>
                <c:pt idx="8">
                  <c:v>ADI</c:v>
                </c:pt>
                <c:pt idx="9">
                  <c:v>Maple Finance</c:v>
                </c:pt>
              </c:strCache>
            </c:strRef>
          </c:cat>
          <c:val>
            <c:numRef>
              <c:f>Dashboard_4_New!$C$4:$C$14</c:f>
              <c:numCache>
                <c:formatCode>General</c:formatCode>
                <c:ptCount val="10"/>
                <c:pt idx="0">
                  <c:v>1.3783106843348676</c:v>
                </c:pt>
                <c:pt idx="1">
                  <c:v>0.68872858979549323</c:v>
                </c:pt>
                <c:pt idx="2">
                  <c:v>7.9832505114645098</c:v>
                </c:pt>
                <c:pt idx="3">
                  <c:v>1.368270673488224</c:v>
                </c:pt>
                <c:pt idx="4">
                  <c:v>1.1251847570502069</c:v>
                </c:pt>
                <c:pt idx="5">
                  <c:v>0.74268373932626286</c:v>
                </c:pt>
                <c:pt idx="6">
                  <c:v>0.99889885447597271</c:v>
                </c:pt>
                <c:pt idx="7">
                  <c:v>0.43580692750200029</c:v>
                </c:pt>
                <c:pt idx="8">
                  <c:v>3.8781798538731227</c:v>
                </c:pt>
                <c:pt idx="9">
                  <c:v>0.19967447665173865</c:v>
                </c:pt>
              </c:numCache>
            </c:numRef>
          </c:val>
          <c:extLst>
            <c:ext xmlns:c16="http://schemas.microsoft.com/office/drawing/2014/chart" uri="{C3380CC4-5D6E-409C-BE32-E72D297353CC}">
              <c16:uniqueId val="{00000001-A774-443D-B071-B939BC260D5A}"/>
            </c:ext>
          </c:extLst>
        </c:ser>
        <c:ser>
          <c:idx val="2"/>
          <c:order val="2"/>
          <c:tx>
            <c:strRef>
              <c:f>Dashboard_4_New!$D$3</c:f>
              <c:strCache>
                <c:ptCount val="1"/>
                <c:pt idx="0">
                  <c:v>Sum of Price_Change</c:v>
                </c:pt>
              </c:strCache>
            </c:strRef>
          </c:tx>
          <c:spPr>
            <a:solidFill>
              <a:schemeClr val="accent3"/>
            </a:solidFill>
            <a:ln>
              <a:noFill/>
            </a:ln>
            <a:effectLst/>
          </c:spPr>
          <c:invertIfNegative val="0"/>
          <c:cat>
            <c:strRef>
              <c:f>Dashboard_4_New!$A$4:$A$14</c:f>
              <c:strCache>
                <c:ptCount val="10"/>
                <c:pt idx="0">
                  <c:v>Lighter</c:v>
                </c:pt>
                <c:pt idx="1">
                  <c:v>Aster</c:v>
                </c:pt>
                <c:pt idx="2">
                  <c:v>KuCoin</c:v>
                </c:pt>
                <c:pt idx="3">
                  <c:v>edgeX</c:v>
                </c:pt>
                <c:pt idx="4">
                  <c:v>Ondo US Dollar Yield</c:v>
                </c:pt>
                <c:pt idx="5">
                  <c:v>Pieverse</c:v>
                </c:pt>
                <c:pt idx="6">
                  <c:v>USDai</c:v>
                </c:pt>
                <c:pt idx="7">
                  <c:v>币安人生 (BinanceLife)</c:v>
                </c:pt>
                <c:pt idx="8">
                  <c:v>ADI</c:v>
                </c:pt>
                <c:pt idx="9">
                  <c:v>Maple Finance</c:v>
                </c:pt>
              </c:strCache>
            </c:strRef>
          </c:cat>
          <c:val>
            <c:numRef>
              <c:f>Dashboard_4_New!$D$4:$D$14</c:f>
              <c:numCache>
                <c:formatCode>General</c:formatCode>
                <c:ptCount val="10"/>
                <c:pt idx="0">
                  <c:v>4.1689315665132343E-2</c:v>
                </c:pt>
                <c:pt idx="1">
                  <c:v>2.9431410204506792E-2</c:v>
                </c:pt>
                <c:pt idx="2">
                  <c:v>1.6749488535490187E-2</c:v>
                </c:pt>
                <c:pt idx="3">
                  <c:v>1.1729326511775939E-2</c:v>
                </c:pt>
                <c:pt idx="4">
                  <c:v>4.8152429497929639E-3</c:v>
                </c:pt>
                <c:pt idx="5">
                  <c:v>4.2802606737371018E-3</c:v>
                </c:pt>
                <c:pt idx="6">
                  <c:v>2.1011455240271815E-3</c:v>
                </c:pt>
                <c:pt idx="7">
                  <c:v>1.8210724979997317E-3</c:v>
                </c:pt>
                <c:pt idx="8">
                  <c:v>1.8201461268771979E-3</c:v>
                </c:pt>
                <c:pt idx="9">
                  <c:v>1.7915233482613535E-3</c:v>
                </c:pt>
              </c:numCache>
            </c:numRef>
          </c:val>
          <c:extLst>
            <c:ext xmlns:c16="http://schemas.microsoft.com/office/drawing/2014/chart" uri="{C3380CC4-5D6E-409C-BE32-E72D297353CC}">
              <c16:uniqueId val="{00000002-A774-443D-B071-B939BC260D5A}"/>
            </c:ext>
          </c:extLst>
        </c:ser>
        <c:dLbls>
          <c:showLegendKey val="0"/>
          <c:showVal val="0"/>
          <c:showCatName val="0"/>
          <c:showSerName val="0"/>
          <c:showPercent val="0"/>
          <c:showBubbleSize val="0"/>
        </c:dLbls>
        <c:gapWidth val="219"/>
        <c:overlap val="-27"/>
        <c:axId val="951892399"/>
        <c:axId val="951889999"/>
      </c:barChart>
      <c:catAx>
        <c:axId val="95189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889999"/>
        <c:crosses val="autoZero"/>
        <c:auto val="1"/>
        <c:lblAlgn val="ctr"/>
        <c:lblOffset val="100"/>
        <c:noMultiLvlLbl val="0"/>
      </c:catAx>
      <c:valAx>
        <c:axId val="95188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892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[CryptoCurrency_AI_Final.xlsx.xlsm]Dashboard_5!PivotTable5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Dashboard_5!$B$3</c:f>
              <c:strCache>
                <c:ptCount val="1"/>
                <c:pt idx="0">
                  <c:v>Sum of Price_7D</c:v>
                </c:pt>
              </c:strCache>
            </c:strRef>
          </c:tx>
          <c:spPr>
            <a:solidFill>
              <a:schemeClr val="accent1"/>
            </a:solidFill>
            <a:ln>
              <a:noFill/>
            </a:ln>
            <a:effectLst/>
          </c:spPr>
          <c:invertIfNegative val="0"/>
          <c:cat>
            <c:strRef>
              <c:f>Dashboard_5!$A$4:$A$14</c:f>
              <c:strCache>
                <c:ptCount val="10"/>
                <c:pt idx="0">
                  <c:v>Aster</c:v>
                </c:pt>
                <c:pt idx="1">
                  <c:v>Lighter</c:v>
                </c:pt>
                <c:pt idx="2">
                  <c:v>Billions Network</c:v>
                </c:pt>
                <c:pt idx="3">
                  <c:v>Kaia</c:v>
                </c:pt>
                <c:pt idx="4">
                  <c:v>Canton</c:v>
                </c:pt>
                <c:pt idx="5">
                  <c:v>Maple Finance</c:v>
                </c:pt>
                <c:pt idx="6">
                  <c:v>edgeX</c:v>
                </c:pt>
                <c:pt idx="7">
                  <c:v>A7A5</c:v>
                </c:pt>
                <c:pt idx="8">
                  <c:v>Pieverse</c:v>
                </c:pt>
                <c:pt idx="9">
                  <c:v>Midnight</c:v>
                </c:pt>
              </c:strCache>
            </c:strRef>
          </c:cat>
          <c:val>
            <c:numRef>
              <c:f>Dashboard_5!$B$4:$B$14</c:f>
              <c:numCache>
                <c:formatCode>General</c:formatCode>
                <c:ptCount val="10"/>
                <c:pt idx="0">
                  <c:v>0.67558543934316906</c:v>
                </c:pt>
                <c:pt idx="1">
                  <c:v>0.89130475344598337</c:v>
                </c:pt>
                <c:pt idx="2">
                  <c:v>0.17006628498604678</c:v>
                </c:pt>
                <c:pt idx="3">
                  <c:v>4.7891598991289926E-2</c:v>
                </c:pt>
                <c:pt idx="4">
                  <c:v>0.15775210914558235</c:v>
                </c:pt>
                <c:pt idx="5">
                  <c:v>0.23196122555007326</c:v>
                </c:pt>
                <c:pt idx="6">
                  <c:v>1.3609889586407529</c:v>
                </c:pt>
                <c:pt idx="7">
                  <c:v>1.2894725875002164E-2</c:v>
                </c:pt>
                <c:pt idx="8">
                  <c:v>1.0475604087153509</c:v>
                </c:pt>
                <c:pt idx="9">
                  <c:v>3.2465548570003083E-2</c:v>
                </c:pt>
              </c:numCache>
            </c:numRef>
          </c:val>
          <c:extLst>
            <c:ext xmlns:c16="http://schemas.microsoft.com/office/drawing/2014/chart" uri="{C3380CC4-5D6E-409C-BE32-E72D297353CC}">
              <c16:uniqueId val="{00000000-3436-4036-97A4-BE6353F9F8A6}"/>
            </c:ext>
          </c:extLst>
        </c:ser>
        <c:ser>
          <c:idx val="1"/>
          <c:order val="1"/>
          <c:tx>
            <c:strRef>
              <c:f>Dashboard_5!$C$3</c:f>
              <c:strCache>
                <c:ptCount val="1"/>
                <c:pt idx="0">
                  <c:v>Sum of Price_24H</c:v>
                </c:pt>
              </c:strCache>
            </c:strRef>
          </c:tx>
          <c:spPr>
            <a:solidFill>
              <a:schemeClr val="accent2"/>
            </a:solidFill>
            <a:ln>
              <a:noFill/>
            </a:ln>
            <a:effectLst/>
          </c:spPr>
          <c:invertIfNegative val="0"/>
          <c:cat>
            <c:strRef>
              <c:f>Dashboard_5!$A$4:$A$14</c:f>
              <c:strCache>
                <c:ptCount val="10"/>
                <c:pt idx="0">
                  <c:v>Aster</c:v>
                </c:pt>
                <c:pt idx="1">
                  <c:v>Lighter</c:v>
                </c:pt>
                <c:pt idx="2">
                  <c:v>Billions Network</c:v>
                </c:pt>
                <c:pt idx="3">
                  <c:v>Kaia</c:v>
                </c:pt>
                <c:pt idx="4">
                  <c:v>Canton</c:v>
                </c:pt>
                <c:pt idx="5">
                  <c:v>Maple Finance</c:v>
                </c:pt>
                <c:pt idx="6">
                  <c:v>edgeX</c:v>
                </c:pt>
                <c:pt idx="7">
                  <c:v>A7A5</c:v>
                </c:pt>
                <c:pt idx="8">
                  <c:v>Pieverse</c:v>
                </c:pt>
                <c:pt idx="9">
                  <c:v>Midnight</c:v>
                </c:pt>
              </c:strCache>
            </c:strRef>
          </c:cat>
          <c:val>
            <c:numRef>
              <c:f>Dashboard_5!$C$4:$C$14</c:f>
              <c:numCache>
                <c:formatCode>General</c:formatCode>
                <c:ptCount val="10"/>
                <c:pt idx="0">
                  <c:v>0.78394882893440987</c:v>
                </c:pt>
                <c:pt idx="1">
                  <c:v>1.7488029320774792</c:v>
                </c:pt>
                <c:pt idx="2">
                  <c:v>6.4242343259356488E-2</c:v>
                </c:pt>
                <c:pt idx="3">
                  <c:v>5.4194319821373946E-2</c:v>
                </c:pt>
                <c:pt idx="4">
                  <c:v>0.16218032529924847</c:v>
                </c:pt>
                <c:pt idx="5">
                  <c:v>0.19271505966996447</c:v>
                </c:pt>
                <c:pt idx="6">
                  <c:v>1.3869594853053651</c:v>
                </c:pt>
                <c:pt idx="7">
                  <c:v>1.3649701055846649E-2</c:v>
                </c:pt>
                <c:pt idx="8">
                  <c:v>0.76297035507920663</c:v>
                </c:pt>
                <c:pt idx="9">
                  <c:v>2.9835923798415456E-2</c:v>
                </c:pt>
              </c:numCache>
            </c:numRef>
          </c:val>
          <c:extLst>
            <c:ext xmlns:c16="http://schemas.microsoft.com/office/drawing/2014/chart" uri="{C3380CC4-5D6E-409C-BE32-E72D297353CC}">
              <c16:uniqueId val="{00000001-3436-4036-97A4-BE6353F9F8A6}"/>
            </c:ext>
          </c:extLst>
        </c:ser>
        <c:ser>
          <c:idx val="2"/>
          <c:order val="2"/>
          <c:tx>
            <c:strRef>
              <c:f>Dashboard_5!$D$3</c:f>
              <c:strCache>
                <c:ptCount val="1"/>
                <c:pt idx="0">
                  <c:v>Sum of Change_1h</c:v>
                </c:pt>
              </c:strCache>
            </c:strRef>
          </c:tx>
          <c:spPr>
            <a:solidFill>
              <a:schemeClr val="accent3"/>
            </a:solidFill>
            <a:ln>
              <a:noFill/>
            </a:ln>
            <a:effectLst/>
          </c:spPr>
          <c:invertIfNegative val="0"/>
          <c:cat>
            <c:strRef>
              <c:f>Dashboard_5!$A$4:$A$14</c:f>
              <c:strCache>
                <c:ptCount val="10"/>
                <c:pt idx="0">
                  <c:v>Aster</c:v>
                </c:pt>
                <c:pt idx="1">
                  <c:v>Lighter</c:v>
                </c:pt>
                <c:pt idx="2">
                  <c:v>Billions Network</c:v>
                </c:pt>
                <c:pt idx="3">
                  <c:v>Kaia</c:v>
                </c:pt>
                <c:pt idx="4">
                  <c:v>Canton</c:v>
                </c:pt>
                <c:pt idx="5">
                  <c:v>Maple Finance</c:v>
                </c:pt>
                <c:pt idx="6">
                  <c:v>edgeX</c:v>
                </c:pt>
                <c:pt idx="7">
                  <c:v>A7A5</c:v>
                </c:pt>
                <c:pt idx="8">
                  <c:v>Pieverse</c:v>
                </c:pt>
                <c:pt idx="9">
                  <c:v>Midnight</c:v>
                </c:pt>
              </c:strCache>
            </c:strRef>
          </c:cat>
          <c:val>
            <c:numRef>
              <c:f>Dashboard_5!$D$4:$D$14</c:f>
              <c:numCache>
                <c:formatCode>General</c:formatCode>
                <c:ptCount val="10"/>
                <c:pt idx="0">
                  <c:v>4.2732958440488078</c:v>
                </c:pt>
                <c:pt idx="1">
                  <c:v>3.0246675251777844</c:v>
                </c:pt>
                <c:pt idx="2">
                  <c:v>2.053190169349949</c:v>
                </c:pt>
                <c:pt idx="3">
                  <c:v>1.1304244275461957</c:v>
                </c:pt>
                <c:pt idx="4">
                  <c:v>0.90759973187467158</c:v>
                </c:pt>
                <c:pt idx="5">
                  <c:v>0.89722200769105975</c:v>
                </c:pt>
                <c:pt idx="6">
                  <c:v>0.85723729515254488</c:v>
                </c:pt>
                <c:pt idx="7">
                  <c:v>0.74374329820953344</c:v>
                </c:pt>
                <c:pt idx="8">
                  <c:v>0.57632346678547186</c:v>
                </c:pt>
                <c:pt idx="9">
                  <c:v>0.53323550554772248</c:v>
                </c:pt>
              </c:numCache>
            </c:numRef>
          </c:val>
          <c:extLst>
            <c:ext xmlns:c16="http://schemas.microsoft.com/office/drawing/2014/chart" uri="{C3380CC4-5D6E-409C-BE32-E72D297353CC}">
              <c16:uniqueId val="{00000002-3436-4036-97A4-BE6353F9F8A6}"/>
            </c:ext>
          </c:extLst>
        </c:ser>
        <c:dLbls>
          <c:showLegendKey val="0"/>
          <c:showVal val="0"/>
          <c:showCatName val="0"/>
          <c:showSerName val="0"/>
          <c:showPercent val="0"/>
          <c:showBubbleSize val="0"/>
        </c:dLbls>
        <c:gapWidth val="219"/>
        <c:overlap val="-27"/>
        <c:axId val="951842479"/>
        <c:axId val="951837199"/>
      </c:barChart>
      <c:catAx>
        <c:axId val="95184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837199"/>
        <c:crosses val="autoZero"/>
        <c:auto val="1"/>
        <c:lblAlgn val="ctr"/>
        <c:lblOffset val="100"/>
        <c:noMultiLvlLbl val="0"/>
      </c:catAx>
      <c:valAx>
        <c:axId val="951837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1842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xdr:col>
      <xdr:colOff>60960</xdr:colOff>
      <xdr:row>2</xdr:row>
      <xdr:rowOff>137160</xdr:rowOff>
    </xdr:from>
    <xdr:to>
      <xdr:col>17</xdr:col>
      <xdr:colOff>152400</xdr:colOff>
      <xdr:row>23</xdr:row>
      <xdr:rowOff>152400</xdr:rowOff>
    </xdr:to>
    <xdr:graphicFrame macro="">
      <xdr:nvGraphicFramePr>
        <xdr:cNvPr id="2" name="Chart 1" hidden="1">
          <a:extLst>
            <a:ext uri="{FF2B5EF4-FFF2-40B4-BE49-F238E27FC236}">
              <a16:creationId xmlns:a16="http://schemas.microsoft.com/office/drawing/2014/main" id="{03FA1D37-3890-19B5-A80A-A35DC42845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434340</xdr:colOff>
      <xdr:row>0</xdr:row>
      <xdr:rowOff>137160</xdr:rowOff>
    </xdr:from>
    <xdr:ext cx="3443315" cy="311496"/>
    <xdr:sp macro="" textlink="">
      <xdr:nvSpPr>
        <xdr:cNvPr id="3" name="MessageBox">
          <a:extLst>
            <a:ext uri="{FF2B5EF4-FFF2-40B4-BE49-F238E27FC236}">
              <a16:creationId xmlns:a16="http://schemas.microsoft.com/office/drawing/2014/main" id="{BD00C813-DCD3-5060-19A7-5A15129C008D}"/>
            </a:ext>
          </a:extLst>
        </xdr:cNvPr>
        <xdr:cNvSpPr txBox="1"/>
      </xdr:nvSpPr>
      <xdr:spPr>
        <a:xfrm>
          <a:off x="4198620" y="137160"/>
          <a:ext cx="34433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solidFill>
                <a:srgbClr val="FF0000">
                  <a:alpha val="90000"/>
                </a:srgbClr>
              </a:solidFill>
            </a:rPr>
            <a:t>Please open in working hours (9 am to 5 pm)</a:t>
          </a:r>
        </a:p>
      </xdr:txBody>
    </xdr:sp>
    <xdr:clientData/>
  </xdr:oneCellAnchor>
  <xdr:twoCellAnchor>
    <xdr:from>
      <xdr:col>3</xdr:col>
      <xdr:colOff>152400</xdr:colOff>
      <xdr:row>3</xdr:row>
      <xdr:rowOff>106680</xdr:rowOff>
    </xdr:from>
    <xdr:to>
      <xdr:col>15</xdr:col>
      <xdr:colOff>205740</xdr:colOff>
      <xdr:row>21</xdr:row>
      <xdr:rowOff>99060</xdr:rowOff>
    </xdr:to>
    <xdr:graphicFrame macro="">
      <xdr:nvGraphicFramePr>
        <xdr:cNvPr id="4" name="Chart 3">
          <a:extLst>
            <a:ext uri="{FF2B5EF4-FFF2-40B4-BE49-F238E27FC236}">
              <a16:creationId xmlns:a16="http://schemas.microsoft.com/office/drawing/2014/main" id="{BB7379F1-791C-9178-92A0-3AEC3DB6F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480060</xdr:colOff>
      <xdr:row>0</xdr:row>
      <xdr:rowOff>60960</xdr:rowOff>
    </xdr:from>
    <xdr:to>
      <xdr:col>6</xdr:col>
      <xdr:colOff>480060</xdr:colOff>
      <xdr:row>13</xdr:row>
      <xdr:rowOff>150495</xdr:rowOff>
    </xdr:to>
    <mc:AlternateContent xmlns:mc="http://schemas.openxmlformats.org/markup-compatibility/2006" xmlns:a14="http://schemas.microsoft.com/office/drawing/2010/main">
      <mc:Choice Requires="a14">
        <xdr:graphicFrame macro="">
          <xdr:nvGraphicFramePr>
            <xdr:cNvPr id="2" name="Price_Group">
              <a:extLst>
                <a:ext uri="{FF2B5EF4-FFF2-40B4-BE49-F238E27FC236}">
                  <a16:creationId xmlns:a16="http://schemas.microsoft.com/office/drawing/2014/main" id="{82536C55-55EB-2B18-7826-1CF0A646AD3E}"/>
                </a:ext>
              </a:extLst>
            </xdr:cNvPr>
            <xdr:cNvGraphicFramePr/>
          </xdr:nvGraphicFramePr>
          <xdr:xfrm>
            <a:off x="0" y="0"/>
            <a:ext cx="0" cy="0"/>
          </xdr:xfrm>
          <a:graphic>
            <a:graphicData uri="http://schemas.microsoft.com/office/drawing/2010/slicer">
              <sle:slicer xmlns:sle="http://schemas.microsoft.com/office/drawing/2010/slicer" name="Price_Group"/>
            </a:graphicData>
          </a:graphic>
        </xdr:graphicFrame>
      </mc:Choice>
      <mc:Fallback xmlns="">
        <xdr:sp macro="" textlink="">
          <xdr:nvSpPr>
            <xdr:cNvPr id="0" name=""/>
            <xdr:cNvSpPr>
              <a:spLocks noTextEdit="1"/>
            </xdr:cNvSpPr>
          </xdr:nvSpPr>
          <xdr:spPr>
            <a:xfrm>
              <a:off x="3208020" y="609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22860</xdr:colOff>
      <xdr:row>0</xdr:row>
      <xdr:rowOff>22860</xdr:rowOff>
    </xdr:from>
    <xdr:to>
      <xdr:col>15</xdr:col>
      <xdr:colOff>327660</xdr:colOff>
      <xdr:row>14</xdr:row>
      <xdr:rowOff>22860</xdr:rowOff>
    </xdr:to>
    <xdr:graphicFrame macro="">
      <xdr:nvGraphicFramePr>
        <xdr:cNvPr id="3" name="Chart 2">
          <a:extLst>
            <a:ext uri="{FF2B5EF4-FFF2-40B4-BE49-F238E27FC236}">
              <a16:creationId xmlns:a16="http://schemas.microsoft.com/office/drawing/2014/main" id="{F74D44F8-A913-4FFD-8976-84EF648969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358140</xdr:colOff>
      <xdr:row>1</xdr:row>
      <xdr:rowOff>0</xdr:rowOff>
    </xdr:from>
    <xdr:to>
      <xdr:col>7</xdr:col>
      <xdr:colOff>358140</xdr:colOff>
      <xdr:row>14</xdr:row>
      <xdr:rowOff>89535</xdr:rowOff>
    </xdr:to>
    <mc:AlternateContent xmlns:mc="http://schemas.openxmlformats.org/markup-compatibility/2006" xmlns:a14="http://schemas.microsoft.com/office/drawing/2010/main">
      <mc:Choice Requires="a14">
        <xdr:graphicFrame macro="">
          <xdr:nvGraphicFramePr>
            <xdr:cNvPr id="2" name="Price_Filter">
              <a:extLst>
                <a:ext uri="{FF2B5EF4-FFF2-40B4-BE49-F238E27FC236}">
                  <a16:creationId xmlns:a16="http://schemas.microsoft.com/office/drawing/2014/main" id="{F420A28A-5333-462E-3BD0-6638458C6169}"/>
                </a:ext>
              </a:extLst>
            </xdr:cNvPr>
            <xdr:cNvGraphicFramePr/>
          </xdr:nvGraphicFramePr>
          <xdr:xfrm>
            <a:off x="0" y="0"/>
            <a:ext cx="0" cy="0"/>
          </xdr:xfrm>
          <a:graphic>
            <a:graphicData uri="http://schemas.microsoft.com/office/drawing/2010/slicer">
              <sle:slicer xmlns:sle="http://schemas.microsoft.com/office/drawing/2010/slicer" name="Price_Filter"/>
            </a:graphicData>
          </a:graphic>
        </xdr:graphicFrame>
      </mc:Choice>
      <mc:Fallback xmlns="">
        <xdr:sp macro="" textlink="">
          <xdr:nvSpPr>
            <xdr:cNvPr id="0" name=""/>
            <xdr:cNvSpPr>
              <a:spLocks noTextEdit="1"/>
            </xdr:cNvSpPr>
          </xdr:nvSpPr>
          <xdr:spPr>
            <a:xfrm>
              <a:off x="5958840" y="182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60960</xdr:colOff>
      <xdr:row>14</xdr:row>
      <xdr:rowOff>110490</xdr:rowOff>
    </xdr:from>
    <xdr:to>
      <xdr:col>3</xdr:col>
      <xdr:colOff>495300</xdr:colOff>
      <xdr:row>29</xdr:row>
      <xdr:rowOff>110490</xdr:rowOff>
    </xdr:to>
    <xdr:graphicFrame macro="">
      <xdr:nvGraphicFramePr>
        <xdr:cNvPr id="3" name="Chart 2">
          <a:extLst>
            <a:ext uri="{FF2B5EF4-FFF2-40B4-BE49-F238E27FC236}">
              <a16:creationId xmlns:a16="http://schemas.microsoft.com/office/drawing/2014/main" id="{3B65306B-968D-9BC8-D898-C416E217C8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106680</xdr:colOff>
      <xdr:row>0</xdr:row>
      <xdr:rowOff>110490</xdr:rowOff>
    </xdr:from>
    <xdr:to>
      <xdr:col>11</xdr:col>
      <xdr:colOff>411480</xdr:colOff>
      <xdr:row>15</xdr:row>
      <xdr:rowOff>110490</xdr:rowOff>
    </xdr:to>
    <xdr:graphicFrame macro="">
      <xdr:nvGraphicFramePr>
        <xdr:cNvPr id="2" name="Chart 1">
          <a:extLst>
            <a:ext uri="{FF2B5EF4-FFF2-40B4-BE49-F238E27FC236}">
              <a16:creationId xmlns:a16="http://schemas.microsoft.com/office/drawing/2014/main" id="{A914FF02-EF7A-6F8B-14A4-BF0BC7E26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502920</xdr:colOff>
      <xdr:row>1</xdr:row>
      <xdr:rowOff>121920</xdr:rowOff>
    </xdr:from>
    <xdr:to>
      <xdr:col>14</xdr:col>
      <xdr:colOff>502920</xdr:colOff>
      <xdr:row>15</xdr:row>
      <xdr:rowOff>28575</xdr:rowOff>
    </xdr:to>
    <mc:AlternateContent xmlns:mc="http://schemas.openxmlformats.org/markup-compatibility/2006" xmlns:a14="http://schemas.microsoft.com/office/drawing/2010/main">
      <mc:Choice Requires="a14">
        <xdr:graphicFrame macro="">
          <xdr:nvGraphicFramePr>
            <xdr:cNvPr id="3" name="Price_Range">
              <a:extLst>
                <a:ext uri="{FF2B5EF4-FFF2-40B4-BE49-F238E27FC236}">
                  <a16:creationId xmlns:a16="http://schemas.microsoft.com/office/drawing/2014/main" id="{CA54FB79-D191-79E7-6B18-67A647AAFBA4}"/>
                </a:ext>
              </a:extLst>
            </xdr:cNvPr>
            <xdr:cNvGraphicFramePr/>
          </xdr:nvGraphicFramePr>
          <xdr:xfrm>
            <a:off x="0" y="0"/>
            <a:ext cx="0" cy="0"/>
          </xdr:xfrm>
          <a:graphic>
            <a:graphicData uri="http://schemas.microsoft.com/office/drawing/2010/slicer">
              <sle:slicer xmlns:sle="http://schemas.microsoft.com/office/drawing/2010/slicer" name="Price_Range"/>
            </a:graphicData>
          </a:graphic>
        </xdr:graphicFrame>
      </mc:Choice>
      <mc:Fallback xmlns="">
        <xdr:sp macro="" textlink="">
          <xdr:nvSpPr>
            <xdr:cNvPr id="0" name=""/>
            <xdr:cNvSpPr>
              <a:spLocks noTextEdit="1"/>
            </xdr:cNvSpPr>
          </xdr:nvSpPr>
          <xdr:spPr>
            <a:xfrm>
              <a:off x="9037320" y="3048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445477</xdr:colOff>
      <xdr:row>0</xdr:row>
      <xdr:rowOff>163537</xdr:rowOff>
    </xdr:from>
    <xdr:to>
      <xdr:col>10</xdr:col>
      <xdr:colOff>445477</xdr:colOff>
      <xdr:row>5</xdr:row>
      <xdr:rowOff>253072</xdr:rowOff>
    </xdr:to>
    <mc:AlternateContent xmlns:mc="http://schemas.openxmlformats.org/markup-compatibility/2006">
      <mc:Choice xmlns:a14="http://schemas.microsoft.com/office/drawing/2010/main" Requires="a14">
        <xdr:graphicFrame macro="">
          <xdr:nvGraphicFramePr>
            <xdr:cNvPr id="2" name="Price_Range 1">
              <a:extLst>
                <a:ext uri="{FF2B5EF4-FFF2-40B4-BE49-F238E27FC236}">
                  <a16:creationId xmlns:a16="http://schemas.microsoft.com/office/drawing/2014/main" id="{48345EDB-C51D-E56D-ED4E-587B5BA600CF}"/>
                </a:ext>
              </a:extLst>
            </xdr:cNvPr>
            <xdr:cNvGraphicFramePr/>
          </xdr:nvGraphicFramePr>
          <xdr:xfrm>
            <a:off x="0" y="0"/>
            <a:ext cx="0" cy="0"/>
          </xdr:xfrm>
          <a:graphic>
            <a:graphicData uri="http://schemas.microsoft.com/office/drawing/2010/slicer">
              <sle:slicer xmlns:sle="http://schemas.microsoft.com/office/drawing/2010/slicer" name="Price_Range 1"/>
            </a:graphicData>
          </a:graphic>
        </xdr:graphicFrame>
      </mc:Choice>
      <mc:Fallback>
        <xdr:sp macro="" textlink="">
          <xdr:nvSpPr>
            <xdr:cNvPr id="0" name=""/>
            <xdr:cNvSpPr>
              <a:spLocks noTextEdit="1"/>
            </xdr:cNvSpPr>
          </xdr:nvSpPr>
          <xdr:spPr>
            <a:xfrm>
              <a:off x="8663354" y="163537"/>
              <a:ext cx="1828800" cy="2469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68.80498148148" createdVersion="8" refreshedVersion="8" minRefreshableVersion="3" recordCount="200" xr:uid="{8116C546-426D-4303-B468-995EE70F7A37}">
  <cacheSource type="worksheet">
    <worksheetSource name="markets?vs_currency_usd_order_market_cap_desc_per_page_200_page_1_sparkline_fals3"/>
  </cacheSource>
  <cacheFields count="13">
    <cacheField name="Symbol" numFmtId="0">
      <sharedItems count="1">
        <s v="Symbol"/>
      </sharedItems>
    </cacheField>
    <cacheField name="Name" numFmtId="0">
      <sharedItems count="200">
        <s v="Bitcoin"/>
        <s v="Ethereum"/>
        <s v="Tether"/>
        <s v="BNB"/>
        <s v="XRP"/>
        <s v="USDC"/>
        <s v="Solana"/>
        <s v="TRON"/>
        <s v="Figure Heloc"/>
        <s v="Dogecoin"/>
        <s v="Hyperliquid"/>
        <s v="WhiteBIT Coin"/>
        <s v="Zcash"/>
        <s v="USDS"/>
        <s v="LEO Token"/>
        <s v="Cardano"/>
        <s v="Bitcoin Cash"/>
        <s v="Monero"/>
        <s v="Chainlink"/>
        <s v="Canton"/>
        <s v="Toncoin"/>
        <s v="Stellar"/>
        <s v="USD1"/>
        <s v="Ethena USDe"/>
        <s v="Sui"/>
        <s v="Dai"/>
        <s v="Litecoin"/>
        <s v="Avalanche"/>
        <s v="Hedera"/>
        <s v="MemeCore"/>
        <s v="PayPal USD"/>
        <s v="Rain"/>
        <s v="Shiba Inu"/>
        <s v="Cronos"/>
        <s v="Circle USYC"/>
        <s v="Bittensor"/>
        <s v="Tether Gold"/>
        <s v="Global Dollar"/>
        <s v="BlackRock USD Institutional Digital Liquidity Fund"/>
        <s v="Uniswap"/>
        <s v="NEAR Protocol"/>
        <s v="Mantle"/>
        <s v="Ondo US Dollar Yield"/>
        <s v="Polkadot"/>
        <s v="PAX Gold"/>
        <s v="Ondo"/>
        <s v="World Liberty Financial"/>
        <s v="Aster"/>
        <s v="HTX DAO"/>
        <s v="Falcon USD"/>
        <s v="Ripple USD"/>
        <s v="OKB"/>
        <s v="Sky"/>
        <s v="Pi Network"/>
        <s v="Pepe"/>
        <s v="USDD"/>
        <s v="Internet Computer"/>
        <s v="Bitget Token"/>
        <s v="Ethereum Classic"/>
        <s v="Aave"/>
        <s v="BFUSD"/>
        <s v="Morpho"/>
        <s v="USDtb"/>
        <s v="KuCoin"/>
        <s v="Quant"/>
        <s v="Spiko EU T-Bills Money Market Fund"/>
        <s v="Cosmos Hub"/>
        <s v="Algorand"/>
        <s v="United Stables"/>
        <s v="Render"/>
        <s v="Janus Henderson Anemoy Treasury Fund"/>
        <s v="Superstate Short Duration U.S. Government Securities Fund (USTB)"/>
        <s v="POL (ex-MATIC)"/>
        <s v="Blockchain Capital"/>
        <s v="Ethena"/>
        <s v="Kaspa"/>
        <s v="Worldcoin"/>
        <s v="NEXO"/>
        <s v="​​Stable"/>
        <s v="JUST"/>
        <s v="Aptos"/>
        <s v="Venice Token"/>
        <s v="Filecoin"/>
        <s v="Gate"/>
        <s v="Flare"/>
        <s v="XDC Network"/>
        <s v="Jupiter"/>
        <s v="Arbitrum"/>
        <s v="Pump.fun"/>
        <s v="DeXe"/>
        <s v="Dash"/>
        <s v="Beldex"/>
        <s v="Pudgy Penguins"/>
        <s v="GHO"/>
        <s v="VeChain"/>
        <s v="OUSG"/>
        <s v="Usual USD"/>
        <s v="Bonk"/>
        <s v="Kite"/>
        <s v="Provenance Blockchain"/>
        <s v="A7A5"/>
        <s v="YLDS"/>
        <s v="Midnight"/>
        <s v="TrueUSD"/>
        <s v="Injective"/>
        <s v="apxUSD"/>
        <s v="edgeX"/>
        <s v="Official Trump"/>
        <s v="Virtuals Protocol"/>
        <s v="PancakeSwap"/>
        <s v="Humanity"/>
        <s v="Stacks"/>
        <s v="Chiliz"/>
        <s v="币安人生 (BinanceLife)"/>
        <s v="Artificial Superintelligence Alliance"/>
        <s v="EURC"/>
        <s v="Janus Henderson Anemoy AAA CLO Fund"/>
        <s v="Terra Luna Classic"/>
        <s v="Spiko Amundi Overnight Swap Fund (EUR)"/>
        <s v="Sei"/>
        <s v="ADI"/>
        <s v="USX"/>
        <s v="Aerodrome Finance"/>
        <s v="Sun Token"/>
        <s v="DoubleZero"/>
        <s v="Tezos"/>
        <s v="First Digital USD"/>
        <s v="Siren"/>
        <s v="Celestia"/>
        <s v="Nexus"/>
        <s v="SPX6900"/>
        <s v="Curve DAO"/>
        <s v="Lighter"/>
        <s v="LayerZero"/>
        <s v="Kinesis Gold"/>
        <s v="SkyAI"/>
        <s v="Ether.fi"/>
        <s v="LAB"/>
        <s v="USDGO"/>
        <s v="Pyth Network"/>
        <s v="The9bit"/>
        <s v="Monad"/>
        <s v="BitTorrent"/>
        <s v="Pendle"/>
        <s v="Gnosis"/>
        <s v="Kaia"/>
        <s v="PRIME"/>
        <s v="Lido DAO"/>
        <s v="Decred"/>
        <s v="Bitcoin SV"/>
        <s v="BUILDon"/>
        <s v="Conflux"/>
        <s v="Telcoin"/>
        <s v="FLOKI"/>
        <s v="Zebec Network"/>
        <s v="USDai"/>
        <s v="JasmyCoin"/>
        <s v="Olympus"/>
        <s v="Kinesis Silver"/>
        <s v="AINFT"/>
        <s v="Starknet"/>
        <s v="Optimism"/>
        <s v="The Graph"/>
        <s v="Legacy Frax Dollar"/>
        <s v="ETHGas"/>
        <s v="Ethereum Name Service"/>
        <s v="Unibase"/>
        <s v="IOTA"/>
        <s v="Royal Dollar"/>
        <s v="MegaUSD"/>
        <s v="Ape and Pepe"/>
        <s v="Jito"/>
        <s v="Maple Finance"/>
        <s v="RealLink"/>
        <s v="Akash Network"/>
        <s v="crvUSD"/>
        <s v="Compound"/>
        <s v="Plasma"/>
        <s v="USDa"/>
        <s v="Falcon Finance"/>
        <s v="Axie Infinity"/>
        <s v="Block Street"/>
        <s v="Raydium"/>
        <s v="NEO"/>
        <s v="Grass"/>
        <s v="Theta Network"/>
        <s v="Tradable NA Rent Financing Platform SSTN"/>
        <s v="Pieverse"/>
        <s v="Billions Network"/>
        <s v="dogwifhat"/>
        <s v="OriginTrail"/>
        <s v="The Sandbox"/>
        <s v="Trust Wallet"/>
        <s v="Fartcoin"/>
        <s v="Undeads Games"/>
        <s v="BTSE Token"/>
        <s v="Onyxcoin"/>
        <s v="Re Protocol reUSD"/>
        <s v="apyUSD"/>
        <s v="Onchain Yield Coin"/>
      </sharedItems>
    </cacheField>
    <cacheField name="Current_price" numFmtId="0">
      <sharedItems containsSemiMixedTypes="0" containsString="0" containsNumber="1" minValue="2.8398599999999999E-7" maxValue="77625" count="194">
        <n v="77625"/>
        <n v="2127.3200000000002"/>
        <n v="0.99902000000000002"/>
        <n v="652.91"/>
        <n v="1.37"/>
        <n v="0.99968699999999999"/>
        <n v="86.45"/>
        <n v="0.36092299999999999"/>
        <n v="1.0349999999999999"/>
        <n v="0.10519299999999999"/>
        <n v="58.51"/>
        <n v="57.18"/>
        <n v="665.49"/>
        <n v="0.99964600000000003"/>
        <n v="10.06"/>
        <n v="0.24875900000000001"/>
        <n v="376.18"/>
        <n v="402.63"/>
        <n v="9.6199999999999992"/>
        <n v="0.15551100000000001"/>
        <n v="2.04"/>
        <n v="0.144819"/>
        <n v="0.99992000000000003"/>
        <n v="0.99930799999999997"/>
        <n v="1.1100000000000001"/>
        <n v="0.99981900000000001"/>
        <n v="54.03"/>
        <n v="9.4"/>
        <n v="8.8805999999999996E-2"/>
        <n v="2.84"/>
        <n v="0.99973599999999996"/>
        <n v="7.5084499999999998E-3"/>
        <n v="5.8000000000000004E-6"/>
        <n v="6.9209000000000007E-2"/>
        <n v="1.1200000000000001"/>
        <n v="283.02"/>
        <n v="4522.5200000000004"/>
        <n v="0.99975899999999995"/>
        <n v="1"/>
        <n v="3.62"/>
        <n v="1.75"/>
        <n v="0.68358699999999994"/>
        <n v="1.1299999999999999"/>
        <n v="1.27"/>
        <n v="4524.24"/>
        <n v="0.40456700000000001"/>
        <n v="6.1742999999999999E-2"/>
        <n v="0.71816000000000002"/>
        <n v="2.0099999999999998E-6"/>
        <n v="0.99793699999999996"/>
        <n v="0.99985500000000005"/>
        <n v="80.91"/>
        <n v="7.0705000000000004E-2"/>
        <n v="0.152616"/>
        <n v="3.7500000000000001E-6"/>
        <n v="0.99919599999999997"/>
        <n v="2.5499999999999998"/>
        <n v="2.0099999999999998"/>
        <n v="8.98"/>
        <n v="88.75"/>
        <n v="0.99830099999999999"/>
        <n v="1.9"/>
        <n v="0.99926000000000004"/>
        <n v="8"/>
        <n v="73.64"/>
        <n v="1.22"/>
        <n v="2.06"/>
        <n v="0.115578"/>
        <n v="1.93"/>
        <n v="1.1000000000000001"/>
        <n v="11.09"/>
        <n v="9.1508000000000006E-2"/>
        <n v="105.74"/>
        <n v="0.10625999999999999"/>
        <n v="3.4611650000000001E-2"/>
        <n v="0.26061099999999998"/>
        <n v="0.87499899999999997"/>
        <n v="3.4954939999999997E-2"/>
        <n v="9.2516000000000001E-2"/>
        <n v="0.95929299999999995"/>
        <n v="16.89"/>
        <n v="0.98548500000000006"/>
        <n v="7.01"/>
        <n v="8.4871300000000007E-3"/>
        <n v="3.5748380000000003E-2"/>
        <n v="0.21218899999999999"/>
        <n v="0.11032599999999999"/>
        <n v="1.7726700000000001E-3"/>
        <n v="13.39"/>
        <n v="48.18"/>
        <n v="7.8797000000000006E-2"/>
        <n v="9.3138400000000003E-3"/>
        <n v="0.99903600000000004"/>
        <n v="6.5942500000000003E-3"/>
        <n v="115.31"/>
        <n v="0.99855000000000005"/>
        <n v="6.1600000000000003E-6"/>
        <n v="0.236182"/>
        <n v="1.004557E-2"/>
        <n v="1.299224E-2"/>
        <n v="0.99986399999999998"/>
        <n v="3.027649E-2"/>
        <n v="0.99854200000000004"/>
        <n v="4.93"/>
        <n v="0.99967799999999996"/>
        <n v="1.38"/>
        <n v="0.73280100000000004"/>
        <n v="1.45"/>
        <n v="0.248942"/>
        <n v="0.24349899999999999"/>
        <n v="4.3249959999999997E-2"/>
        <n v="0.43762800000000002"/>
        <n v="0.19362299999999999"/>
        <n v="1.1599999999999999"/>
        <n v="7.6660000000000001E-5"/>
        <n v="1.17"/>
        <n v="6.2087999999999997E-2"/>
        <n v="3.88"/>
        <n v="0.99956999999999996"/>
        <n v="0.42183399999999999"/>
        <n v="2.0131980000000001E-2"/>
        <n v="0.11056000000000001"/>
        <n v="0.34807300000000002"/>
        <n v="0.99834400000000001"/>
        <n v="0.51069799999999999"/>
        <n v="0.402478"/>
        <n v="6.0499999999999997E-6"/>
        <n v="0.38855800000000001"/>
        <n v="0.23450799999999999"/>
        <n v="1.42"/>
        <n v="144.13"/>
        <n v="0.34193800000000002"/>
        <n v="0.38308399999999998"/>
        <n v="4.3899999999999997"/>
        <n v="0.99989499999999998"/>
        <n v="4.1979330000000002E-2"/>
        <n v="3.9454759999999998E-2"/>
        <n v="2.7296379999999999E-2"/>
        <n v="3.2307699999999998E-7"/>
        <n v="1.84"/>
        <n v="118.67"/>
        <n v="5.2684000000000002E-2"/>
        <n v="1.0389999999999999"/>
        <n v="0.358068"/>
        <n v="17.489999999999998"/>
        <n v="15.02"/>
        <n v="0.29928100000000002"/>
        <n v="5.7339000000000001E-2"/>
        <n v="3.0936399999999999E-3"/>
        <n v="3.0530000000000001E-5"/>
        <n v="3.0067100000000001E-3"/>
        <n v="1.0009999999999999"/>
        <n v="5.7455800000000001E-3"/>
        <n v="18.95"/>
        <n v="75.13"/>
        <n v="2.8398599999999999E-7"/>
        <n v="4.4382959999999999E-2"/>
        <n v="0.129576"/>
        <n v="2.54243E-2"/>
        <n v="0.99280000000000002"/>
        <n v="0.124293"/>
        <n v="6.31"/>
        <n v="0.101539"/>
        <n v="5.6327000000000002E-2"/>
        <n v="0.99952300000000005"/>
        <n v="0.99802999999999997"/>
        <n v="1.1400000000000001E-6"/>
        <n v="0.49956499999999998"/>
        <n v="0.20146600000000001"/>
        <n v="7.1777999999999995E-2"/>
        <n v="0.77480099999999996"/>
        <n v="0.99920299999999995"/>
        <n v="22.65"/>
        <n v="8.7041999999999994E-2"/>
        <n v="0.98303700000000005"/>
        <n v="9.035E-2"/>
        <n v="1.2"/>
        <n v="0.93042400000000003"/>
        <n v="0.76845799999999997"/>
        <n v="2.89"/>
        <n v="0.34782600000000002"/>
        <n v="0.203241"/>
        <n v="0.74696399999999996"/>
        <n v="8.1731999999999999E-2"/>
        <n v="0.19622300000000001"/>
        <n v="0.439969"/>
        <n v="7.2418999999999997E-2"/>
        <n v="0.46341100000000002"/>
        <n v="0.19168399999999999"/>
        <n v="1.51"/>
        <n v="1.1499999999999999"/>
        <n v="4.7894599999999997E-3"/>
        <n v="1.079"/>
        <n v="1.36"/>
      </sharedItems>
    </cacheField>
    <cacheField name="Market_cap" numFmtId="0">
      <sharedItems containsSemiMixedTypes="0" containsString="0" containsNumber="1" containsInteger="1" minValue="181529558" maxValue="1555086049689" count="200">
        <n v="1555086049689"/>
        <n v="256742909305"/>
        <n v="189656929329"/>
        <n v="87990533731"/>
        <n v="84979941132"/>
        <n v="76175765204"/>
        <n v="49959119159"/>
        <n v="34215005797"/>
        <n v="18595367647"/>
        <n v="16230432513"/>
        <n v="13947374086"/>
        <n v="12170714508"/>
        <n v="11108254786"/>
        <n v="10712269912"/>
        <n v="9263575427"/>
        <n v="9203257550"/>
        <n v="7538216142"/>
        <n v="7424363923"/>
        <n v="6989035905"/>
        <n v="5995528680"/>
        <n v="5478469758"/>
        <n v="4853013681"/>
        <n v="4670209950"/>
        <n v="4441849712"/>
        <n v="4438668582"/>
        <n v="4351982961"/>
        <n v="4171507646"/>
        <n v="4055847507"/>
        <n v="3851652825"/>
        <n v="3698841591"/>
        <n v="3634660082"/>
        <n v="3598491793"/>
        <n v="3416409596"/>
        <n v="3100530347"/>
        <n v="2985300571"/>
        <n v="2712542501"/>
        <n v="2682242903"/>
        <n v="2678380191"/>
        <n v="2537560312"/>
        <n v="2304070208"/>
        <n v="2266659357"/>
        <n v="2257879959"/>
        <n v="2140904879"/>
        <n v="2135906168"/>
        <n v="2128577072"/>
        <n v="1967585323"/>
        <n v="1960851840"/>
        <n v="1850059896"/>
        <n v="1829904742"/>
        <n v="1780780937"/>
        <n v="1738007044"/>
        <n v="1699352895"/>
        <n v="1642643254"/>
        <n v="1616509074"/>
        <n v="1577879365"/>
        <n v="1519516944"/>
        <n v="1410852460"/>
        <n v="1407164262"/>
        <n v="1406411503"/>
        <n v="1348184218"/>
        <n v="1317757144"/>
        <n v="1202146737"/>
        <n v="1080201403"/>
        <n v="1077600775"/>
        <n v="1071707103"/>
        <n v="1053097673"/>
        <n v="1049545377"/>
        <n v="1029523423"/>
        <n v="1027910673"/>
        <n v="999815531"/>
        <n v="989146526"/>
        <n v="985963054"/>
        <n v="973978951"/>
        <n v="963514617"/>
        <n v="959107924"/>
        <n v="949184238"/>
        <n v="887675558"/>
        <n v="874989490"/>
        <n v="799607364"/>
        <n v="789993555"/>
        <n v="785803758"/>
        <n v="781616755"/>
        <n v="770554907"/>
        <n v="745811006"/>
        <n v="732225757"/>
        <n v="714263811"/>
        <n v="705339346"/>
        <n v="690561431"/>
        <n v="628297399"/>
        <n v="626921415"/>
        <n v="611780199"/>
        <n v="609790101"/>
        <n v="585593972"/>
        <n v="583421585"/>
        <n v="566928477"/>
        <n v="555161212"/>
        <n v="554746416"/>
        <n v="542162583"/>
        <n v="536559178"/>
        <n v="535073172"/>
        <n v="509421258"/>
        <n v="504635570"/>
        <n v="500335866"/>
        <n v="493826340"/>
        <n v="493155119"/>
        <n v="491551696"/>
        <n v="484016676"/>
        <n v="483210114"/>
        <n v="481511519"/>
        <n v="473253637"/>
        <n v="454150391"/>
        <n v="450568187"/>
        <n v="448688448"/>
        <n v="437904814"/>
        <n v="437557298"/>
        <n v="433989659"/>
        <n v="429767674"/>
        <n v="424658922"/>
        <n v="423338746"/>
        <n v="418018926"/>
        <n v="404429250"/>
        <n v="403596301"/>
        <n v="397874983"/>
        <n v="387067307"/>
        <n v="383625865"/>
        <n v="377793307"/>
        <n v="376487205"/>
        <n v="371173567"/>
        <n v="369700951"/>
        <n v="363183377"/>
        <n v="362010516"/>
        <n v="355648287"/>
        <n v="354628761"/>
        <n v="348203049"/>
        <n v="343922014"/>
        <n v="341261678"/>
        <n v="337111194"/>
        <n v="334985849"/>
        <n v="333547838"/>
        <n v="330016214"/>
        <n v="323623916"/>
        <n v="322783305"/>
        <n v="319033223"/>
        <n v="314028569"/>
        <n v="313442659"/>
        <n v="308436310"/>
        <n v="307631661"/>
        <n v="304123790"/>
        <n v="303911650"/>
        <n v="300746266"/>
        <n v="300034776"/>
        <n v="297586476"/>
        <n v="295297558"/>
        <n v="294715898"/>
        <n v="294370064"/>
        <n v="286816435"/>
        <n v="284136204"/>
        <n v="284009822"/>
        <n v="283826264"/>
        <n v="281539628"/>
        <n v="279627190"/>
        <n v="278859354"/>
        <n v="274476252"/>
        <n v="273884325"/>
        <n v="260931769"/>
        <n v="255088056"/>
        <n v="254684410"/>
        <n v="250268073"/>
        <n v="249856878"/>
        <n v="243945765"/>
        <n v="239256953"/>
        <n v="236509910"/>
        <n v="233615317"/>
        <n v="233043466"/>
        <n v="226446251"/>
        <n v="221937905"/>
        <n v="218992007"/>
        <n v="218027563"/>
        <n v="216944422"/>
        <n v="211208880"/>
        <n v="207896500"/>
        <n v="207038323"/>
        <n v="206897302"/>
        <n v="204319449"/>
        <n v="204079057"/>
        <n v="203704003"/>
        <n v="202500000"/>
        <n v="200721703"/>
        <n v="198445448"/>
        <n v="195994047"/>
        <n v="194782500"/>
        <n v="193152318"/>
        <n v="193042907"/>
        <n v="191656259"/>
        <n v="188281229"/>
        <n v="185044439"/>
        <n v="183071710"/>
        <n v="182450322"/>
        <n v="181666965"/>
        <n v="181529558"/>
      </sharedItems>
    </cacheField>
    <cacheField name="Volume_24h" numFmtId="0">
      <sharedItems containsSemiMixedTypes="0" containsString="0" containsNumber="1" minValue="0" maxValue="50796303933" count="192">
        <n v="27706270538"/>
        <n v="11467644219"/>
        <n v="50796303933"/>
        <n v="621619496"/>
        <n v="1470380370"/>
        <n v="12637332810"/>
        <n v="3111805213"/>
        <n v="515229030"/>
        <n v="21994349"/>
        <n v="690699522"/>
        <n v="1363799400"/>
        <n v="39478346"/>
        <n v="1133038170"/>
        <n v="5045202"/>
        <n v="608974"/>
        <n v="336057058"/>
        <n v="374857426"/>
        <n v="162041670"/>
        <n v="299620032"/>
        <n v="10426205"/>
        <n v="342531714"/>
        <n v="86499611"/>
        <n v="2185445563"/>
        <n v="57987782"/>
        <n v="768028698"/>
        <n v="205494148"/>
        <n v="225286543"/>
        <n v="206722819"/>
        <n v="41683137"/>
        <n v="8552103"/>
        <n v="27817967"/>
        <n v="18635430"/>
        <n v="59628616"/>
        <n v="9669861"/>
        <n v="224834"/>
        <n v="224803029"/>
        <n v="214678761"/>
        <n v="58566228"/>
        <n v="0"/>
        <n v="171724427"/>
        <n v="379043172"/>
        <n v="38560593"/>
        <n v="1108857"/>
        <n v="108467907"/>
        <n v="127740373"/>
        <n v="257627665"/>
        <n v="32416007"/>
        <n v="175590155"/>
        <n v="88949506"/>
        <n v="245302"/>
        <n v="126330738"/>
        <n v="9599728"/>
        <n v="11226665"/>
        <n v="13530641"/>
        <n v="144544184"/>
        <n v="2238315"/>
        <n v="44915635"/>
        <n v="13719093"/>
        <n v="29995577"/>
        <n v="166381553"/>
        <n v="3135665"/>
        <n v="16210295"/>
        <n v="2480308"/>
        <n v="2801704"/>
        <n v="9554347"/>
        <n v="35087930"/>
        <n v="35020047"/>
        <n v="11741382"/>
        <n v="62513512"/>
        <n v="44097780"/>
        <n v="66101808"/>
        <n v="11030254"/>
        <n v="110048825"/>
        <n v="6721641"/>
        <n v="15591964"/>
        <n v="34640427"/>
        <n v="48009124"/>
        <n v="108434656"/>
        <n v="67873335"/>
        <n v="2262298"/>
        <n v="2918587"/>
        <n v="32745443"/>
        <n v="38883116"/>
        <n v="50658367"/>
        <n v="47532224"/>
        <n v="10672926"/>
        <n v="251426107"/>
        <n v="11772521"/>
        <n v="138903200"/>
        <n v="3117919"/>
        <n v="11495143"/>
        <n v="1228302"/>
        <n v="34969387"/>
        <n v="30694234"/>
        <n v="11898.39"/>
        <n v="78284"/>
        <n v="2026087"/>
        <n v="68767187"/>
        <n v="9117214"/>
        <n v="100075977"/>
        <n v="6534951"/>
        <n v="9308078"/>
        <n v="59723454"/>
        <n v="51906066"/>
        <n v="26951217"/>
        <n v="229213280"/>
        <n v="7230788"/>
        <n v="84052258"/>
        <n v="15983599"/>
        <n v="47546131"/>
        <n v="36447491"/>
        <n v="27081895"/>
        <n v="29203894"/>
        <n v="1889176"/>
        <n v="311449"/>
        <n v="17468330"/>
        <n v="56322029"/>
        <n v="29664923"/>
        <n v="11507726"/>
        <n v="25283227"/>
        <n v="8110258"/>
        <n v="36621677"/>
        <n v="98025282"/>
        <n v="6685043"/>
        <n v="30509859"/>
        <n v="92731094"/>
        <n v="21126160"/>
        <n v="68793"/>
        <n v="45081599"/>
        <n v="21651197"/>
        <n v="48256316"/>
        <n v="7257522"/>
        <n v="19421336"/>
        <n v="5586506"/>
        <n v="48263165"/>
        <n v="5240317"/>
        <n v="54047516"/>
        <n v="2890738"/>
        <n v="16484410"/>
        <n v="726444"/>
        <n v="20127621"/>
        <n v="3033507"/>
        <n v="6302323"/>
        <n v="38604890"/>
        <n v="7854400"/>
        <n v="1856766"/>
        <n v="21254608"/>
        <n v="7507360"/>
        <n v="117172"/>
        <n v="10970087"/>
        <n v="97610"/>
        <n v="886227"/>
        <n v="6862439"/>
        <n v="38588326"/>
        <n v="48542257"/>
        <n v="11882796"/>
        <n v="747667"/>
        <n v="4534746"/>
        <n v="16173061"/>
        <n v="13737017"/>
        <n v="5992956"/>
        <n v="130928911"/>
        <n v="4546065"/>
        <n v="36402821"/>
        <n v="120667009"/>
        <n v="13067083"/>
        <n v="7533849"/>
        <n v="12787359"/>
        <n v="17596222"/>
        <n v="9888582"/>
        <n v="43175646"/>
        <n v="1.47"/>
        <n v="16199656"/>
        <n v="17282039"/>
        <n v="135313434"/>
        <n v="31053207"/>
        <n v="6172092"/>
        <n v="12734645"/>
        <n v="8432152"/>
        <n v="8941451"/>
        <n v="107608043"/>
        <n v="27650799"/>
        <n v="55304403"/>
        <n v="12927495"/>
        <n v="7466340"/>
        <n v="22918332"/>
        <n v="172487"/>
        <n v="7894216"/>
        <n v="4275494"/>
        <n v="10083252"/>
        <n v="414221"/>
        <n v="795166"/>
      </sharedItems>
    </cacheField>
    <cacheField name="Change_24h" numFmtId="0">
      <sharedItems containsString="0" containsBlank="1" containsNumber="1" minValue="-27.224499999999999" maxValue="44.260750000000002" count="197">
        <n v="0.27544999999999997"/>
        <n v="-2.0459999999999999E-2"/>
        <n v="1.1050000000000001E-2"/>
        <n v="1.47464"/>
        <n v="0.25681999999999999"/>
        <n v="-3.7499999999999999E-3"/>
        <n v="1.8313600000000001"/>
        <n v="1.20871"/>
        <n v="0.28842000000000001"/>
        <n v="1.5492300000000001"/>
        <n v="19.842790000000001"/>
        <n v="8.9389999999999997E-2"/>
        <n v="13.32569"/>
        <n v="5.0600000000000003E-3"/>
        <n v="0.19786000000000001"/>
        <n v="-0.13300000000000001"/>
        <n v="1.87476"/>
        <n v="1.17431"/>
        <n v="0.27684999999999998"/>
        <n v="4.1122899999999998"/>
        <n v="4.1837299999999997"/>
        <n v="1.5304199999999999"/>
        <n v="3.0000000000000001E-5"/>
        <n v="-1.5900000000000001E-2"/>
        <n v="4.5434099999999997"/>
        <n v="1.8280000000000001E-2"/>
        <n v="-9.3060000000000004E-2"/>
        <n v="2.0732599999999999"/>
        <n v="-0.39122000000000001"/>
        <n v="-15.32451"/>
        <n v="-8.5400000000000007E-3"/>
        <n v="7.5850000000000001E-2"/>
        <n v="1.0641099999999999"/>
        <n v="0.63295999999999997"/>
        <m/>
        <n v="7.9411100000000001"/>
        <n v="0.92886000000000002"/>
        <n v="3.0599999999999998E-3"/>
        <n v="0"/>
        <n v="-0.41322999999999999"/>
        <n v="6.3548799999999996"/>
        <n v="9.2082300000000004"/>
        <n v="-0.23561000000000001"/>
        <n v="2.3259799999999999"/>
        <n v="0.93718000000000001"/>
        <n v="7.5934699999999999"/>
        <n v="0.26554"/>
        <n v="8.3919800000000002"/>
        <n v="2.0961599999999998"/>
        <n v="2.0209999999999999E-2"/>
        <n v="-7.5199999999999998E-3"/>
        <n v="0.38945999999999997"/>
        <n v="2.4282400000000002"/>
        <n v="1.3580399999999999"/>
        <n v="1.82717"/>
        <n v="-6.7400000000000003E-3"/>
        <n v="1.3657600000000001"/>
        <n v="0.28819"/>
        <n v="-0.78042999999999996"/>
        <n v="1.1672199999999999"/>
        <n v="-0.02"/>
        <n v="5.7377799999999999"/>
        <n v="1.034E-2"/>
        <n v="0.64693000000000001"/>
        <n v="1.5471900000000001"/>
        <n v="0.35172999999999999"/>
        <n v="2.6810700000000001"/>
        <n v="1.29657"/>
        <n v="2.7009999999999999E-2"/>
        <n v="3.1774300000000002"/>
        <n v="1.123E-2"/>
        <n v="9.6200000000000001E-3"/>
        <n v="1.5019"/>
        <n v="0.46399000000000001"/>
        <n v="1.4296800000000001"/>
        <n v="8.4536599999999993"/>
        <n v="-1.7375499999999999"/>
        <n v="1.4436500000000001"/>
        <n v="-0.55352999999999997"/>
        <n v="1.6013900000000001"/>
        <n v="-2.3229099999999998"/>
        <n v="3.1208200000000001"/>
        <n v="0.16386999999999999"/>
        <n v="2.0306500000000001"/>
        <n v="0.22980999999999999"/>
        <n v="3.4136000000000002"/>
        <n v="-2.4925799999999998"/>
        <n v="3.70689"/>
        <n v="-4.5962100000000001"/>
        <n v="3.3366099999999999"/>
        <n v="-4.3470000000000002E-2"/>
        <n v="5.4921699999999998"/>
        <n v="9.6799999999999994E-3"/>
        <n v="0.25842999999999999"/>
        <n v="9.1900000000000003E-3"/>
        <n v="5.0619999999999998E-2"/>
        <n v="2.5339999999999998"/>
        <n v="2.7501799999999998"/>
        <n v="-4.2564500000000001"/>
        <n v="4.8166700000000002"/>
        <n v="1.2239999999999999E-2"/>
        <n v="-1.4766300000000001"/>
        <n v="-4.6580000000000003E-2"/>
        <n v="-0.23676"/>
        <n v="7.9900000000000006E-3"/>
        <n v="0.50178"/>
        <n v="-0.16904"/>
        <n v="1.76427"/>
        <n v="2.7536999999999998"/>
        <n v="2.8649"/>
        <n v="2.0144600000000001"/>
        <n v="-7.3443399999999999"/>
        <n v="-0.85145000000000004"/>
        <n v="1.5843400000000001"/>
        <n v="0.30115999999999998"/>
        <n v="7.92E-3"/>
        <n v="-0.44874999999999998"/>
        <n v="0.35361999999999999"/>
        <n v="2.1103700000000001"/>
        <n v="0.31663000000000002"/>
        <n v="1.243E-2"/>
        <n v="2.6947700000000001"/>
        <n v="1.97557"/>
        <n v="18.121580000000002"/>
        <n v="3.20601"/>
        <n v="6.3159999999999994E-2"/>
        <n v="-5.1326999999999998"/>
        <n v="0.38993"/>
        <n v="44.260750000000002"/>
        <n v="4.0667900000000001"/>
        <n v="-1.0245599999999999"/>
        <n v="18.801600000000001"/>
        <n v="2.7849499999999998"/>
        <n v="0.59263999999999994"/>
        <n v="6.5104600000000001"/>
        <n v="1.26953"/>
        <n v="6.68072"/>
        <n v="3.98E-3"/>
        <n v="3.4300099999999998"/>
        <n v="-0.53420000000000001"/>
        <n v="3.7958699999999999"/>
        <n v="0.52371000000000001"/>
        <n v="4.6445100000000004"/>
        <n v="0.18432999999999999"/>
        <n v="2.7868599999999999"/>
        <n v="4.2520000000000002E-2"/>
        <n v="0.12653"/>
        <n v="3.3765800000000001"/>
        <n v="-5.7029999999999997E-2"/>
        <n v="-15.039339999999999"/>
        <n v="-1.03667"/>
        <n v="0.97435000000000005"/>
        <n v="0.48065999999999998"/>
        <n v="5.5182799999999999"/>
        <n v="3.388E-2"/>
        <n v="1.5097400000000001"/>
        <n v="0.39419999999999999"/>
        <n v="-0.33883999999999997"/>
        <n v="0.20669999999999999"/>
        <n v="4.7800099999999999"/>
        <n v="1.76119"/>
        <n v="1.8640000000000001"/>
        <n v="4.1509999999999998E-2"/>
        <n v="-4.2963399999999998"/>
        <n v="1.02474"/>
        <n v="-18.73434"/>
        <n v="0.40656999999999999"/>
        <n v="-9.9699999999999997E-3"/>
        <n v="-1.384E-2"/>
        <n v="3.4689999999999999E-2"/>
        <n v="15.31457"/>
        <n v="-4.54087"/>
        <n v="1.11951"/>
        <n v="1.13148"/>
        <n v="2.0559999999999998E-2"/>
        <n v="-0.27915000000000001"/>
        <n v="4.1123399999999997"/>
        <n v="2.7307199999999998"/>
        <n v="0.2586"/>
        <n v="15.293100000000001"/>
        <n v="3.5968499999999999"/>
        <n v="1.1685099999999999"/>
        <n v="16.126799999999999"/>
        <n v="2.0936900000000001"/>
        <n v="2.0979000000000001"/>
        <n v="-27.224499999999999"/>
        <n v="1.8666"/>
        <n v="-0.79961000000000004"/>
        <n v="1.44208"/>
        <n v="0.45784999999999998"/>
        <n v="3.6236999999999999"/>
        <n v="-0.75931999999999999"/>
        <n v="1.96709"/>
        <n v="0.52346000000000004"/>
        <n v="2.6919999999999999E-2"/>
        <n v="6.0470000000000003E-2"/>
        <n v="-1.5769999999999999E-2"/>
      </sharedItems>
    </cacheField>
    <cacheField name="Circulating_supply" numFmtId="0">
      <sharedItems containsSemiMixedTypes="0" containsString="0" containsNumber="1" minValue="470301.37" maxValue="990105592982874.75" count="196">
        <n v="20032296"/>
        <n v="120685618.4990976"/>
        <n v="189842359508.68381"/>
        <n v="134785126.07999989"/>
        <n v="61829045420"/>
        <n v="76198413148.080017"/>
        <n v="577862068.72740972"/>
        <n v="94804052384.574402"/>
        <n v="17963209954.466999"/>
        <n v="154326586383.7052"/>
        <n v="238385315.95414141"/>
        <n v="212858550"/>
        <n v="16688225.1655448"/>
        <n v="10715847313.454901"/>
        <n v="920578240.89999998"/>
        <n v="37001084154.715309"/>
        <n v="20037246.77165078"/>
        <n v="18446744.073709551"/>
        <n v="727099970.42554772"/>
        <n v="38582169190.185722"/>
        <n v="2692509486.4343681"/>
        <n v="33521234417.573471"/>
        <n v="4670526932.3875847"/>
        <n v="4445300708.1920414"/>
        <n v="4005418369.566699"/>
        <n v="4352768249.8514957"/>
        <n v="77186520.733471349"/>
        <n v="431771961.17721188"/>
        <n v="43373490527.101768"/>
        <n v="1303766294.687613"/>
        <n v="3635773224.4037209"/>
        <n v="479088411035.2702"/>
        <n v="589243270257029.5"/>
        <n v="44782685266.139702"/>
        <n v="2655561662.5436029"/>
        <n v="9597491"/>
        <n v="592823.65953199996"/>
        <n v="2679022219.0437779"/>
        <n v="2537560311.6504488"/>
        <n v="635813562.74284792"/>
        <n v="1296058293"/>
        <n v="3302294382.53684"/>
        <n v="1889716549.0305359"/>
        <n v="1684814367.2796321"/>
        <n v="470301.37"/>
        <n v="4869330647"/>
        <n v="31773075199"/>
        <n v="2579922243.4698935"/>
        <n v="905707664073577.75"/>
        <n v="1784462229.1240611"/>
        <n v="1738254025.031991"/>
        <n v="21000000"/>
        <n v="23228890832.874542"/>
        <n v="10592014967.80899"/>
        <n v="420690000000000"/>
        <n v="1520799941"/>
        <n v="552972257.56583953"/>
        <n v="699992035.97879064"/>
        <n v="156559601.62289631"/>
        <n v="15179911.874935385"/>
        <n v="1320000000"/>
        <n v="632970288.4273876"/>
        <n v="1081001061.2661819"/>
        <n v="134655021.73556709"/>
        <n v="14544176.164081177"/>
        <n v="860836000.10935998"/>
        <n v="509738500.58006001"/>
        <n v="8914080475.5440235"/>
        <n v="1027858682.01"/>
        <n v="518743261.01407421"/>
        <n v="895904381.31546998"/>
        <n v="88925714.028620005"/>
        <n v="10646887322.070221"/>
        <n v="9112111"/>
        <n v="9026562500"/>
        <n v="27416658504.52483"/>
        <n v="3409949399.5384851"/>
        <n v="1000000000"/>
        <n v="22870992455"/>
        <n v="8543764567.3127356"/>
        <n v="819317910.35773444"/>
        <n v="46267307.575830609"/>
        <n v="782029454"/>
        <n v="106483509.17747104"/>
        <n v="86257463059.199478"/>
        <n v="19946688440"/>
        <n v="3320312968.0799999"/>
        <n v="6255821492"/>
        <n v="354503454572.23492"/>
        <n v="46750552.583840348"/>
        <n v="12700590.883829391"/>
        <n v="7738210159.5190372"/>
        <n v="62860396090"/>
        <n v="584000000"/>
        <n v="85985041177"/>
        <n v="4814710.1425328404"/>
        <n v="555552300.31639993"/>
        <n v="87994732460591.313"/>
        <n v="2273255814"/>
        <n v="53241942609"/>
        <n v="39209890572.960739"/>
        <n v="504704181.41000003"/>
        <n v="16607399400.634951"/>
        <n v="494515083"/>
        <n v="100000000"/>
        <n v="491720349.27916372"/>
        <n v="350000000"/>
        <n v="237414040.342428"/>
        <n v="656986027.21708381"/>
        <n v="325805256.9312923"/>
        <n v="1825000000"/>
        <n v="1845898459.4012599"/>
        <n v="10372142749"/>
        <n v="2258865649.6699901"/>
        <n v="373181744.18950713"/>
        <n v="415205583.586546"/>
        <n v="5541784362846.4395"/>
        <n v="362314056.11365998"/>
        <n v="6733333333"/>
        <n v="104035514.216296"/>
        <n v="403769806.46639901"/>
        <n v="941492288.46712077"/>
        <n v="19225457928.14254"/>
        <n v="3469835660.1999998"/>
        <n v="1085378408.734417"/>
        <n v="377148541.66021597"/>
        <n v="726788283.04661047"/>
        <n v="919932996.62250996"/>
        <n v="60000000000000"/>
        <n v="930993080.88700116"/>
        <n v="1516426423"/>
        <n v="250000000"/>
        <n v="252331652.65365621"/>
        <n v="2386227.8341999999"/>
        <n v="998384107.78570163"/>
        <n v="880665741"/>
        <n v="76546099.142000005"/>
        <n v="333556964.94"/>
        <n v="7874982037.9407101"/>
        <n v="8199996134.3176603"/>
        <n v="11825165000"/>
        <n v="987037885840674.75"/>
        <n v="170452559.06856331"/>
        <n v="2639589"/>
        <n v="5856641747.1061983"/>
        <n v="296453053.72523397"/>
        <n v="849051956.28168392"/>
        <n v="17427448.512631599"/>
        <n v="20031287.5"/>
        <n v="5189835932.1300001"/>
        <n v="95077236366.710007"/>
        <n v="9652167661420"/>
        <n v="97951717939.670685"/>
        <n v="286530159.14941287"/>
        <n v="49444999677.590271"/>
        <n v="14981364.28253293"/>
        <n v="3777096.9336000001"/>
        <n v="990105592982874.75"/>
        <n v="6289850275.3489714"/>
        <n v="2150875957"/>
        <n v="10799867657.473471"/>
        <n v="275847684.01026767"/>
        <n v="2100000000"/>
        <n v="40408647.500078425"/>
        <n v="2500000000"/>
        <n v="4446812518"/>
        <n v="244340886.50039721"/>
        <n v="210000000000000"/>
        <n v="473835191.30000001"/>
        <n v="1159459590.7885313"/>
        <n v="3246726475"/>
        <n v="292078878.41442698"/>
        <n v="222051397.73447999"/>
        <n v="9668189.2783608865"/>
        <n v="2505729166.6666999"/>
        <n v="220687959.0114319"/>
        <n v="2340000000"/>
        <n v="173384825.001344"/>
        <n v="222650000"/>
        <n v="268977952.31723797"/>
        <n v="70530000"/>
        <n v="587143499"/>
        <n v="202500000"/>
        <n v="269750000"/>
        <n v="2428000000"/>
        <n v="998926392"/>
        <n v="447274118"/>
        <n v="2667289212.2233224"/>
        <n v="416649900"/>
        <n v="999975745.89123499"/>
        <n v="124818848.125"/>
        <n v="162061501"/>
        <n v="38226313934.617386"/>
        <n v="169151027.93535909"/>
        <n v="133187995.73888969"/>
        <n v="164555865.561941"/>
      </sharedItems>
    </cacheField>
    <cacheField name="Change_1h" numFmtId="0">
      <sharedItems containsString="0" containsBlank="1" containsNumber="1" minValue="-6.1557530964273965" maxValue="4.2732958440488078" count="192">
        <n v="-0.26998955724195595"/>
        <n v="-0.35164690734941828"/>
        <n v="-1.9520477448468752E-4"/>
        <n v="-0.19746184012934381"/>
        <n v="-0.3644693030301106"/>
        <n v="-5.64363787272031E-4"/>
        <n v="-0.31254002498921779"/>
        <n v="0.39567427417631823"/>
        <m/>
        <n v="-0.46872006955437379"/>
        <n v="-1.3318135406100259E-2"/>
        <n v="-0.24685902293482925"/>
        <n v="-9.4046672616777696E-2"/>
        <n v="2.6770289844031442E-3"/>
        <n v="-0.23917070692341913"/>
        <n v="-0.29343451903324225"/>
        <n v="-0.17884023367537646"/>
        <n v="-0.35748960128909968"/>
        <n v="-0.76263507813969977"/>
        <n v="0.90759973187467158"/>
        <n v="-0.84319713447796596"/>
        <n v="-0.58548653793091465"/>
        <n v="1.1011117154098476E-3"/>
        <n v="-2.3653087844086539E-3"/>
        <n v="-1.5169068696385468"/>
        <n v="8.3625673943511487E-4"/>
        <n v="-0.62285887553227504"/>
        <n v="-0.5270701326194368"/>
        <n v="-0.18592621031752665"/>
        <n v="-0.53550966207052098"/>
        <n v="-7.7113846753832978E-3"/>
        <n v="-0.4191197650307209"/>
        <n v="-0.35139883319247217"/>
        <n v="-0.44028155194728957"/>
        <n v="-1.781568348964804"/>
        <n v="1.202015389017762E-2"/>
        <n v="4.8599483188784334E-4"/>
        <n v="0"/>
        <n v="-0.99050516050255055"/>
        <n v="-0.11812262464886564"/>
        <n v="-0.34267195050204619"/>
        <n v="0.42795131373949907"/>
        <n v="-0.54818035898782391"/>
        <n v="3.1792901976748576E-2"/>
        <n v="-0.85457540649667207"/>
        <n v="8.5060875340040809E-2"/>
        <n v="4.2732958440488078"/>
        <n v="7.4229103767335616E-2"/>
        <n v="5.862603634798183E-2"/>
        <n v="-5.4478521218610477E-3"/>
        <n v="-0.23627204871313084"/>
        <n v="1.142832523301753E-2"/>
        <n v="-0.3945121998644997"/>
        <n v="-0.64820364747108716"/>
        <n v="-2.0785640772402279E-2"/>
        <n v="-0.67768520265549548"/>
        <n v="-0.15940971873374071"/>
        <n v="-0.56416051559823477"/>
        <n v="-0.72788565888266055"/>
        <n v="-1.0009879803440602E-2"/>
        <n v="-6.9964460628921921E-2"/>
        <n v="7.3147164101177733E-4"/>
        <n v="0.20980787852562544"/>
        <n v="-9.0844698906063295E-2"/>
        <n v="5.9546031291903272E-2"/>
        <n v="-0.36321184248508648"/>
        <n v="3.4521222066742678E-2"/>
        <n v="3.6520957212520331E-3"/>
        <n v="-1.536708769952134"/>
        <n v="3.8823601440828505E-2"/>
        <n v="-0.92173924283602915"/>
        <n v="-1.2834753987679129E-2"/>
        <n v="-1.3984860526017806"/>
        <n v="-3.8154939888950794E-2"/>
        <n v="0.14167470231893425"/>
        <n v="0.27689853311011403"/>
        <n v="-0.93372226689195204"/>
        <n v="-5.6718009400309854E-2"/>
        <n v="-0.7649258471107746"/>
        <n v="-0.93137384136615964"/>
        <n v="-0.28081130095493589"/>
        <n v="-3.2478520796764006E-2"/>
        <n v="-1.3785026420975171"/>
        <n v="-1.1177254384630504"/>
        <n v="-0.75974920005497459"/>
        <n v="-1.4819695960968398"/>
        <n v="0.37147373851804905"/>
        <n v="-0.1827800413121955"/>
        <n v="0.10685062857596712"/>
        <n v="1.0227157700040065E-2"/>
        <n v="-0.43788924434869664"/>
        <n v="4.4487532887839989E-4"/>
        <n v="-0.53513109172105677"/>
        <n v="-0.29263925232682847"/>
        <n v="-6.1557530964273965"/>
        <n v="0.74374329820953344"/>
        <n v="5.8097547618077491E-3"/>
        <n v="0.53323550554772248"/>
        <n v="-8.5989128240925403E-2"/>
        <n v="-0.94066156139839119"/>
        <n v="3.1267460640867009E-3"/>
        <n v="0.85723729515254488"/>
        <n v="-0.80213476534117634"/>
        <n v="-0.91518623852076797"/>
        <n v="4.1447496129224208E-2"/>
        <n v="-2.0648232511594364"/>
        <n v="-0.38965096199466137"/>
        <n v="-1.1358438426370945"/>
        <n v="0.41786221904224868"/>
        <n v="-1.2785764690005983"/>
        <n v="2.3664700818693984E-2"/>
        <n v="-0.47084749742235543"/>
        <n v="5.9546031291912063E-2"/>
        <n v="-0.56684600329461188"/>
        <n v="4.6932999382679169E-2"/>
        <n v="-2.2825705710728492E-2"/>
        <n v="-0.15854028913523016"/>
        <n v="9.6325534298319124E-2"/>
        <n v="-1.1516376048372927"/>
        <n v="-5.5739572009547003E-2"/>
        <n v="3.1897769888207458E-2"/>
        <n v="-0.83747680478302855"/>
        <n v="-1.0742652871668881"/>
        <n v="-4.7070535088897936"/>
        <n v="-2.3028339129458826"/>
        <n v="-0.81519762586690392"/>
        <n v="3.0246675251777844"/>
        <n v="-0.28837439042785062"/>
        <n v="-2.8582104671558547E-3"/>
        <n v="-0.58887890381040819"/>
        <n v="-0.57606204052743182"/>
        <n v="-2.8118704607825489E-2"/>
        <n v="1.4221386783271795E-2"/>
        <n v="-0.21228335426243777"/>
        <n v="-2.2418454740153838E-2"/>
        <n v="-1.1465244661153251"/>
        <n v="-0.14271893347297124"/>
        <n v="-1.0454899598452905"/>
        <n v="-0.34598260317002993"/>
        <n v="1.1304244275461957"/>
        <n v="3.6413312387483326E-2"/>
        <n v="-0.99276731782324401"/>
        <n v="0.64918931790000312"/>
        <n v="-0.22060077502847475"/>
        <n v="-2.5331040002473739"/>
        <n v="-0.62099615639521411"/>
        <n v="-1.566869469016164"/>
        <n v="-0.87382045024721045"/>
        <n v="-0.76295536920603702"/>
        <n v="0.21034617415088672"/>
        <n v="0.51490637960545893"/>
        <n v="-0.3268767367031214"/>
        <n v="0.10604256576576972"/>
        <n v="-1.1642310509314393"/>
        <n v="0.20048364614252021"/>
        <n v="-0.4436143850960757"/>
        <n v="-0.91393210402664038"/>
        <n v="-3.0696287601369623E-2"/>
        <n v="-0.66415224522006822"/>
        <n v="-0.40392273980911308"/>
        <n v="-2.2438954959968607"/>
        <n v="-0.43209859983376631"/>
        <n v="-2.481104511874424E-2"/>
        <n v="-0.12642839999330224"/>
        <n v="-0.26114304249148512"/>
        <n v="-2.6858335023109459"/>
        <n v="0.89722200769105975"/>
        <n v="-0.30284271484074793"/>
        <n v="-1.024241013953004"/>
        <n v="-2.853099403055992E-2"/>
        <n v="-0.99654263582428237"/>
        <n v="-0.47675133310394902"/>
        <n v="-8.1519674093067152E-2"/>
        <n v="-0.42772206487220499"/>
        <n v="-0.79547780202328666"/>
        <n v="-0.90660798781897445"/>
        <n v="-0.16260815431483883"/>
        <n v="-0.5038008278453715"/>
        <n v="-0.87453888258106072"/>
        <n v="0.57632346678547186"/>
        <n v="2.053190169349949"/>
        <n v="-0.53044355158678147"/>
        <n v="-3.6650378254042031"/>
        <n v="-0.38325574458021366"/>
        <n v="-1.0515680697051739"/>
        <n v="-1.0280060505233499"/>
        <n v="-7.0580783258457416E-2"/>
        <n v="-0.48562761328483611"/>
        <n v="-8.0085619634541722E-2"/>
        <n v="3.9852367650472558E-4"/>
        <n v="-9.2043837236484405E-2"/>
        <n v="1.199410326652639E-2"/>
      </sharedItems>
    </cacheField>
    <cacheField name="Change_7d" numFmtId="0">
      <sharedItems containsString="0" containsBlank="1" containsNumber="1" minValue="-51.941091670988307" maxValue="129.29528660678614" count="199">
        <n v="-2.7081622791946165"/>
        <n v="-6.0984806126137565"/>
        <n v="-4.4205563985474129E-2"/>
        <n v="-2.9628913906440819"/>
        <n v="-4.1430433482969358"/>
        <n v="-1.6003052324647926E-3"/>
        <n v="-5.0537460497648681"/>
        <n v="2.6047322055623945"/>
        <n v="0.15266824030407483"/>
        <n v="-7.7199288742425418"/>
        <n v="49.695164804451998"/>
        <n v="-2.6285246538914002"/>
        <n v="26.535394257960355"/>
        <n v="-2.4320300565846963E-2"/>
        <n v="-0.71973090489243552"/>
        <n v="-6.1145290019070497"/>
        <n v="-13.292683780606673"/>
        <n v="1.9649242091725676"/>
        <n v="-6.3668807713147046"/>
        <n v="-1.4206524132835012"/>
        <n v="-4.1933967248617057"/>
        <n v="-9.0729778300134019"/>
        <n v="5.9678160215982982E-2"/>
        <n v="-9.3638872835028919E-2"/>
        <n v="-7.1601519320704128"/>
        <n v="2.9514382424712448E-2"/>
        <n v="-5.3993416501327403"/>
        <n v="-3.1470069290993865"/>
        <n v="-4.5020050111720744"/>
        <n v="-15.498655555094864"/>
        <n v="8.6002119353038777E-3"/>
        <n v="-0.15384555735126018"/>
        <n v="-7.7832922731106606"/>
        <n v="-6.6222142406727675"/>
        <n v="0.13357663397083344"/>
        <n v="-4.4596294501491007"/>
        <n v="-3.4818058999431787"/>
        <n v="1.8589930632178946E-2"/>
        <n v="0"/>
        <n v="0.58632792341699735"/>
        <n v="10.639836616397185"/>
        <n v="1.0438859455008442"/>
        <n v="2.8911816051841989E-2"/>
        <n v="-4.5023257036709508"/>
        <n v="-3.4895275090278206"/>
        <n v="5.4569317177622905"/>
        <n v="-9.2719290133201966"/>
        <n v="6.301876591393631"/>
        <n v="2.7640844695456144"/>
        <n v="2.060919059783636E-2"/>
        <n v="4.5662620184120875E-4"/>
        <n v="-4.35506655847899"/>
        <n v="-2.7877835679384351"/>
        <n v="-10.239751688685232"/>
        <n v="-7.1632180720147183"/>
        <n v="-3.5988291909135536E-2"/>
        <n v="-14.346871097471393"/>
        <n v="-3.8710864471212432"/>
        <n v="-2.8260044865838125"/>
        <n v="-8.2018127262532694"/>
        <n v="-7.9980589497204088E-2"/>
        <n v="-3.5161602546571928"/>
        <n v="-8.9254343215381827E-3"/>
        <n v="-4.0416454085957367"/>
        <n v="-4.6706862453354789"/>
        <n v="-0.64773590649508916"/>
        <n v="2.7892255445955718"/>
        <n v="-1.1306691103516555"/>
        <n v="2.9818843530029011E-2"/>
        <n v="3.2769830750706395"/>
        <n v="8.1673351916064146E-2"/>
        <n v="6.6244584572892867E-2"/>
        <n v="-3.0048907592840153"/>
        <n v="-0.12279210352319792"/>
        <n v="-8.896123708383346"/>
        <n v="-6.3114970334573002"/>
        <n v="1.293213257277972"/>
        <n v="-2.6357846277267436"/>
        <n v="-11.232735821622622"/>
        <n v="4.4561859262116386"/>
        <n v="-7.019568455126433"/>
        <n v="22.03687715400676"/>
        <n v="-5.4094864130691684"/>
        <n v="-3.6393198685997072"/>
        <n v="-2.1574832681693898"/>
        <n v="8.2376586786797397"/>
        <n v="-4.1658289097265229"/>
        <n v="-15.228825902003171"/>
        <n v="-4.2158166934426378"/>
        <n v="9.1321532709053184"/>
        <n v="9.2307544775422112"/>
        <n v="-0.14256689116433208"/>
        <n v="3.7381059626018862"/>
        <n v="-2.7486512004468867E-2"/>
        <n v="-8.8862103991739332"/>
        <n v="6.6172595311753374E-2"/>
        <n v="5.8494212316431975E-2"/>
        <n v="-9.2711236175321154"/>
        <n v="5.8203748195879621"/>
        <n v="-4.5766535204846894"/>
        <n v="0.75623263296258847"/>
        <n v="1.4835584255099897E-2"/>
        <n v="-6.7427124026041891"/>
        <n v="-0.10563502589927184"/>
        <n v="-1.8249166526109768"/>
        <n v="-1.3009006591644962E-2"/>
        <n v="1.396854929538426"/>
        <n v="-13.813769668634448"/>
        <n v="-4.6572740844001377"/>
        <n v="-4.5586737825745454"/>
        <n v="-2.3655724660467539"/>
        <n v="-9.2811525963922445"/>
        <n v="1.7245388111977915"/>
        <n v="13.129260580405759"/>
        <n v="-8.2902450202843294"/>
        <n v="-0.69619386757828416"/>
        <n v="6.4771723179184532E-2"/>
        <n v="-6.4015324491412908"/>
        <n v="-0.67442482501248802"/>
        <n v="-6.3570964510338115"/>
        <n v="-3.5257451525254302"/>
        <n v="-2.1964573362665721E-2"/>
        <n v="-8.5827582618479568"/>
        <n v="0.52114467459328628"/>
        <n v="5.5910979670554442"/>
        <n v="-7.5705610687768541"/>
        <n v="4.5456217658799786E-2"/>
        <n v="-8.5946928314079685"/>
        <n v="-10.773765529098862"/>
        <m/>
        <n v="-6.3669849144861486"/>
        <n v="-11.845152085276656"/>
        <n v="59.317000667836965"/>
        <n v="-1.6269764424295274"/>
        <n v="-5.1785984029551404"/>
        <n v="-8.7695096850001288"/>
        <n v="-14.212334579290792"/>
        <n v="-19.852966232672596"/>
        <n v="1.7999601673864142E-2"/>
        <n v="-16.762223293820089"/>
        <n v="50.638513123721992"/>
        <n v="-8.6853530736421334"/>
        <n v="-1.0899312208431138"/>
        <n v="-7.1445817932159583"/>
        <n v="-6.5532931970090704"/>
        <n v="10.006767595255427"/>
        <n v="0.17854974146975278"/>
        <n v="-6.2938872758589577"/>
        <n v="-6.1461130692192745"/>
        <n v="-9.9458941707521316"/>
        <n v="-37.878334906632929"/>
        <n v="-17.662348097408643"/>
        <n v="7.0935045318689358"/>
        <n v="-11.261974898690736"/>
        <n v="-12.205380530654317"/>
        <n v="0.11429374486665274"/>
        <n v="-10.697854003804467"/>
        <n v="-2.9082326279936401"/>
        <n v="-14.245363147709414"/>
        <n v="-6.1047753860788738"/>
        <n v="-3.2606585606958194"/>
        <n v="-11.350403958743991"/>
        <n v="-8.6517544593618911"/>
        <n v="-0.102892882369164"/>
        <n v="-3.2959189944189551"/>
        <n v="-8.5493844588959327"/>
        <n v="-50.862414168605994"/>
        <n v="-6.207528963308147"/>
        <n v="-1.3818904547403223E-2"/>
        <n v="-0.24888000344354305"/>
        <n v="-7.4808556173684577"/>
        <n v="1.1813689464871238"/>
        <n v="-13.146690994478416"/>
        <n v="-5.4279615468585494"/>
        <n v="-3.6286971212036208"/>
        <n v="-3.9360063969295839E-2"/>
        <n v="5.8084946925981366E-2"/>
        <n v="-7.4191204741183556"/>
        <n v="-4.7730769083253341E-2"/>
        <n v="13.139190647468006"/>
        <n v="-4.5043337213582637"/>
        <n v="129.29528660678614"/>
        <n v="-1.0844685199332689"/>
        <n v="-7.2877599562878173"/>
        <n v="5.0957629691004964"/>
        <n v="-7.6419899559162312"/>
        <n v="-28.694899713132511"/>
        <n v="-51.941091670988307"/>
        <n v="-9.0071225599279394"/>
        <n v="29.372409048940156"/>
        <n v="-6.1037682714714938"/>
        <n v="-8.0751598844182162"/>
        <n v="-10.506516801921236"/>
        <n v="-2.0933953161405063"/>
        <n v="6.1040954573879143"/>
        <n v="-4.2133778240596405"/>
        <n v="0.19969443738751713"/>
        <n v="0.2432015043838093"/>
        <n v="0.16971880334998318"/>
      </sharedItems>
    </cacheField>
    <cacheField name="First_Letter" numFmtId="0">
      <sharedItems count="28">
        <s v="B"/>
        <s v="E"/>
        <s v="T"/>
        <s v="X"/>
        <s v="U"/>
        <s v="S"/>
        <s v="F"/>
        <s v="D"/>
        <s v="H"/>
        <s v="W"/>
        <s v="Z"/>
        <s v="L"/>
        <s v="C"/>
        <s v="M"/>
        <s v="A"/>
        <s v="P"/>
        <s v="R"/>
        <s v="G"/>
        <s v="N"/>
        <s v="O"/>
        <s v="I"/>
        <s v="K"/>
        <s v="Q"/>
        <s v="J"/>
        <s v="​"/>
        <s v="V"/>
        <s v="Y"/>
        <s v="币"/>
      </sharedItems>
    </cacheField>
    <cacheField name="Valid_Start" numFmtId="0">
      <sharedItems count="2">
        <b v="1"/>
        <b v="0"/>
      </sharedItems>
    </cacheField>
    <cacheField name="Price_Group" numFmtId="0">
      <sharedItems count="5">
        <s v="&gt;50"/>
        <s v="0.5-5"/>
        <s v="0.05-0.5"/>
        <s v="5-50"/>
        <s v="0-0.05"/>
      </sharedItems>
    </cacheField>
    <cacheField name="Avg_Downfall" numFmtId="0">
      <sharedItems containsSemiMixedTypes="0" containsString="0" containsNumber="1" minValue="156765.97075513098" maxValue="330035197660955.81" count="200">
        <n v="6677431.0072827218"/>
        <n v="40228537.349656694"/>
        <n v="63280786502.879799"/>
        <n v="44928374.306548886"/>
        <n v="20609681805.164162"/>
        <n v="25399471049.359283"/>
        <n v="192620687.78704119"/>
        <n v="31601350795.858273"/>
        <n v="8981604977.3098335"/>
        <n v="51442195458.505516"/>
        <n v="79461788.545329362"/>
        <n v="70952849.041538775"/>
        <n v="5562750.5356307952"/>
        <n v="3571949104.4777527"/>
        <n v="306859413.31369948"/>
        <n v="12333694716.102448"/>
        <n v="6679077.7667089216"/>
        <n v="6148915.2270480534"/>
        <n v="242366654.43201062"/>
        <n v="12860723063.224222"/>
        <n v="897503160.46592474"/>
        <n v="11173744802.638334"/>
        <n v="1556842310.8161213"/>
        <n v="1481766902.6986792"/>
        <n v="1335139453.6298802"/>
        <n v="1450922749.9606154"/>
        <n v="25728838.237090275"/>
        <n v="143923985.83437827"/>
        <n v="14457830174.137945"/>
        <n v="434588759.55114931"/>
        <n v="1211924408.1348698"/>
        <n v="159696137011.56573"/>
        <n v="196414423419007.13"/>
        <n v="14927561753.025734"/>
        <n v="1327780831.3385899"/>
        <n v="3199161.5862674005"/>
        <n v="197606.72991541796"/>
        <n v="893007406.35428464"/>
        <n v="845853437.21681631"/>
        <n v="211937854.11289021"/>
        <n v="432019434.50723797"/>
        <n v="1100764794.4126847"/>
        <n v="629905516.49579966"/>
        <n v="561604787.40970862"/>
        <n v="156765.97075513098"/>
        <n v="1623110217.2007856"/>
        <n v="10591025063.271044"/>
        <n v="859974084.68168867"/>
        <n v="301902554691193.56"/>
        <n v="594820743.06776536"/>
        <n v="579418008.3423332"/>
        <n v="6999998.4695537975"/>
        <n v="7742963610.0327291"/>
        <n v="3530671652.3915753"/>
        <n v="140229999999997.39"/>
        <n v="506933313.64774203"/>
        <n v="184324080.84709439"/>
        <n v="233330677.31609812"/>
        <n v="52186532.744243771"/>
        <n v="5059967.6484123329"/>
        <n v="439999999.97000319"/>
        <n v="210990094.94708765"/>
        <n v="360333687.08599597"/>
        <n v="44885005.96790985"/>
        <n v="4848057.1341834115"/>
        <n v="286945333.17372334"/>
        <n v="169912834.33535787"/>
        <n v="2971360158.149292"/>
        <n v="342619560.68115699"/>
        <n v="172914420.91811618"/>
        <n v="298634793.79904777"/>
        <n v="29641904.698288199"/>
        <n v="3548962439.701385"/>
        <n v="3037370.2924026321"/>
        <n v="3008854163.3940454"/>
        <n v="9138886166.0668316"/>
        <n v="1136649799.8110707"/>
        <n v="333333332.44202012"/>
        <n v="7623664147.9696465"/>
        <n v="2847921524.0152736"/>
        <n v="273105967.46814793"/>
        <n v="15422443.18532992"/>
        <n v="260676482.60852924"/>
        <n v="35494501.535592444"/>
        <n v="28752487685.587063"/>
        <n v="6648896149.4017267"/>
        <n v="1106770987.5118895"/>
        <n v="2085273825.2178164"/>
        <n v="118167818189.08644"/>
        <n v="15583520.078008009"/>
        <n v="4233533.4953525355"/>
        <n v="2579403386.3978968"/>
        <n v="20953465364.614986"/>
        <n v="194666666.66091356"/>
        <n v="28661680389.225296"/>
        <n v="1604903.4029018118"/>
        <n v="185184100.12511301"/>
        <n v="29331577486860.504"/>
        <n v="757751939.84257853"/>
        <n v="17747314199.422531"/>
        <n v="13069963524.820238"/>
        <n v="168234727.14354846"/>
        <n v="5535799798.1418247"/>
        <n v="164838360.93612528"/>
        <n v="33333332.41147393"/>
        <n v="163906783.08976048"/>
        <n v="116666667.41803074"/>
        <n v="79138008.575507864"/>
        <n v="218995340.54820779"/>
        <n v="108601750.80468868"/>
        <n v="608333331.85653484"/>
        <n v="615299483.24348545"/>
        <n v="3457380916.5295653"/>
        <n v="333333337.84904093"/>
        <n v="752955213.36705625"/>
        <n v="124393914.50565933"/>
        <n v="138401861.2171059"/>
        <n v="1847261454279.8557"/>
        <n v="120771351.83292706"/>
        <n v="2244444442.0253525"/>
        <n v="34678503.579161279"/>
        <n v="134589935.47386959"/>
        <n v="313830759.90860742"/>
        <n v="6408485976.2533369"/>
        <n v="1156611888.2131534"/>
        <n v="361792800.36937207"/>
        <n v="125716180.57919"/>
        <n v="242262757.87148026"/>
        <n v="306644328.2581597"/>
        <n v="29999999999997.645"/>
        <n v="310331024.07239407"/>
        <n v="505475470.1132167"/>
        <n v="83333354.113889396"/>
        <n v="84110550.246101797"/>
        <n v="795407.55091446219"/>
        <n v="332794699.47577101"/>
        <n v="293555242.07053441"/>
        <n v="25515359.753638357"/>
        <n v="111185654.99074031"/>
        <n v="2624994006.9887347"/>
        <n v="2733332061.6445851"/>
        <n v="3941721663.3893743"/>
        <n v="329012628613557.81"/>
        <n v="56817516.959497184"/>
        <n v="879860.70024139993"/>
        <n v="1952213919.4144633"/>
        <n v="98817684.646732345"/>
        <n v="283017316.33167642"/>
        <n v="5809147.6719026165"/>
        <n v="6677092.444501684"/>
        <n v="333333319.86285371"/>
        <n v="1729945304.6155519"/>
        <n v="31692412124.078884"/>
        <n v="3217389220469.2886"/>
        <n v="32650572642.234116"/>
        <n v="95510053.158017591"/>
        <n v="16481666555.802443"/>
        <n v="4993787.0158078549"/>
        <n v="1259027.5980931392"/>
        <n v="330035197660955.81"/>
        <n v="2096616757.4295988"/>
        <n v="716958648.40199387"/>
        <n v="3599955882.6359277"/>
        <n v="91949227.958892837"/>
        <n v="699999998.67997634"/>
        <n v="13469546.182257077"/>
        <n v="833333315.63123"/>
        <n v="1482270837.1201241"/>
        <n v="83333333.320456684"/>
        <n v="81446962.041696265"/>
        <n v="69999999999997.43"/>
        <n v="157945063.26517847"/>
        <n v="386486526.17968744"/>
        <n v="1082242156.4230654"/>
        <n v="97359624.587162957"/>
        <n v="74017132.555529639"/>
        <n v="3222729.4466343988"/>
        <n v="835243052.92360938"/>
        <n v="110343979.48185056"/>
        <n v="780000004.35255706"/>
        <n v="57794940.023096062"/>
        <n v="74216709.499936268"/>
        <n v="89659316.775387153"/>
        <n v="23509997.516543958"/>
        <n v="195714501.1973207"/>
        <n v="333333330.49449039"/>
        <n v="67500000"/>
        <n v="89916657.293807909"/>
        <n v="809333316.7040329"/>
        <n v="332975460.82081133"/>
        <n v="149091381.2357904"/>
        <n v="889096401.91209936"/>
        <n v="138883296.95775732"/>
        <n v="333325244.78557068"/>
        <n v="41606281.987007968"/>
        <n v="54020502.206155948"/>
        <n v="12742104643.441307"/>
        <n v="56383676.045150675"/>
        <n v="44395998.63001579"/>
        <n v="54851955.247884631"/>
      </sharedItems>
    </cacheField>
  </cacheFields>
  <extLst>
    <ext xmlns:x14="http://schemas.microsoft.com/office/spreadsheetml/2009/9/main" uri="{725AE2AE-9491-48be-B2B4-4EB974FC3084}">
      <x14:pivotCacheDefinition pivotCacheId="108620623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2.493320370369" createdVersion="8" refreshedVersion="8" minRefreshableVersion="3" recordCount="200" xr:uid="{34DD957D-8DFE-4CE6-88FB-CF08545FB91E}">
  <cacheSource type="worksheet">
    <worksheetSource name="Table3"/>
  </cacheSource>
  <cacheFields count="7">
    <cacheField name="Symbol" numFmtId="0">
      <sharedItems count="200">
        <s v="btc"/>
        <s v="eth"/>
        <s v="usdt"/>
        <s v="bnb"/>
        <s v="xrp"/>
        <s v="usdc"/>
        <s v="sol"/>
        <s v="trx"/>
        <s v="figr_heloc"/>
        <s v="doge"/>
        <s v="hype"/>
        <s v="wbt"/>
        <s v="zec"/>
        <s v="usds"/>
        <s v="leo"/>
        <s v="ada"/>
        <s v="bch"/>
        <s v="xmr"/>
        <s v="link"/>
        <s v="cc"/>
        <s v="ton"/>
        <s v="xlm"/>
        <s v="usd1"/>
        <s v="usde"/>
        <s v="sui"/>
        <s v="dai"/>
        <s v="ltc"/>
        <s v="avax"/>
        <s v="hbar"/>
        <s v="m"/>
        <s v="pyusd"/>
        <s v="rain"/>
        <s v="shib"/>
        <s v="cro"/>
        <s v="usyc"/>
        <s v="tao"/>
        <s v="xaut"/>
        <s v="usdg"/>
        <s v="buidl"/>
        <s v="uni"/>
        <s v="near"/>
        <s v="mnt"/>
        <s v="usdy"/>
        <s v="dot"/>
        <s v="paxg"/>
        <s v="ondo"/>
        <s v="wlfi"/>
        <s v="aster"/>
        <s v="htx"/>
        <s v="usdf"/>
        <s v="rlusd"/>
        <s v="okb"/>
        <s v="sky"/>
        <s v="pi"/>
        <s v="pepe"/>
        <s v="usdd"/>
        <s v="icp"/>
        <s v="bgb"/>
        <s v="etc"/>
        <s v="aave"/>
        <s v="bfusd"/>
        <s v="morpho"/>
        <s v="usdtb"/>
        <s v="kcs"/>
        <s v="qnt"/>
        <s v="eutbl"/>
        <s v="atom"/>
        <s v="algo"/>
        <s v="u"/>
        <s v="render"/>
        <s v="jtrsy"/>
        <s v="ustb"/>
        <s v="pol"/>
        <s v="bcap"/>
        <s v="ena"/>
        <s v="kas"/>
        <s v="wld"/>
        <s v="nexo"/>
        <s v="stable"/>
        <s v="jst"/>
        <s v="apt"/>
        <s v="vvv"/>
        <s v="fil"/>
        <s v="gt"/>
        <s v="flr"/>
        <s v="xdc"/>
        <s v="jup"/>
        <s v="arb"/>
        <s v="pump"/>
        <s v="dexe"/>
        <s v="dash"/>
        <s v="bdx"/>
        <s v="pengu"/>
        <s v="gho"/>
        <s v="vet"/>
        <s v="ousg"/>
        <s v="usd0"/>
        <s v="bonk"/>
        <s v="kite"/>
        <s v="hash"/>
        <s v="a7a5"/>
        <s v="ylds"/>
        <s v="night"/>
        <s v="tusd"/>
        <s v="inj"/>
        <s v="apxusd"/>
        <s v="edge"/>
        <s v="trump"/>
        <s v="virtual"/>
        <s v="cake"/>
        <s v="h"/>
        <s v="stx"/>
        <s v="chz"/>
        <s v="币安人生"/>
        <s v="fet"/>
        <s v="eurc"/>
        <s v="jaaa"/>
        <s v="lunc"/>
        <s v="eursafo"/>
        <s v="sei"/>
        <s v="adi"/>
        <s v="usx"/>
        <s v="aero"/>
        <s v="sun"/>
        <s v="2z"/>
        <s v="xtz"/>
        <s v="fdusd"/>
        <s v="siren"/>
        <s v="tia"/>
        <s v="nex"/>
        <s v="spx"/>
        <s v="crv"/>
        <s v="lit"/>
        <s v="zro"/>
        <s v="kau"/>
        <s v="skyai"/>
        <s v="ethfi"/>
        <s v="lab"/>
        <s v="usdgo"/>
        <s v="pyth"/>
        <s v="9bit"/>
        <s v="mon"/>
        <s v="btt"/>
        <s v="pendle"/>
        <s v="gno"/>
        <s v="kaia"/>
        <s v="prime"/>
        <s v="ldo"/>
        <s v="dcr"/>
        <s v="bsv"/>
        <s v="b"/>
        <s v="cfx"/>
        <s v="tel"/>
        <s v="floki"/>
        <s v="zbcn"/>
        <s v="usdai"/>
        <s v="jasmy"/>
        <s v="ohm"/>
        <s v="kag"/>
        <s v="nft"/>
        <s v="strk"/>
        <s v="op"/>
        <s v="grt"/>
        <s v="frax"/>
        <s v="gwei"/>
        <s v="ens"/>
        <s v="ub"/>
        <s v="iota"/>
        <s v="rusd"/>
        <s v="usdm"/>
        <s v="apepe"/>
        <s v="jto"/>
        <s v="syrup"/>
        <s v="real"/>
        <s v="akt"/>
        <s v="crvusd"/>
        <s v="comp"/>
        <s v="xpl"/>
        <s v="usda"/>
        <s v="ff"/>
        <s v="axs"/>
        <s v="bsb"/>
        <s v="ray"/>
        <s v="neo"/>
        <s v="grass"/>
        <s v="theta"/>
        <s v="pc0000031"/>
        <s v="pieverse"/>
        <s v="bill"/>
        <s v="wif"/>
        <s v="trac"/>
        <s v="sand"/>
        <s v="twt"/>
        <s v="fartcoin"/>
        <s v="uds"/>
        <s v="btse"/>
        <s v="xcn"/>
        <s v="reusd"/>
        <s v="apyusd"/>
        <s v="onyc"/>
      </sharedItems>
    </cacheField>
    <cacheField name="Name" numFmtId="0">
      <sharedItems count="200">
        <s v="Bitcoin"/>
        <s v="Ethereum"/>
        <s v="Tether"/>
        <s v="BNB"/>
        <s v="XRP"/>
        <s v="USDC"/>
        <s v="Solana"/>
        <s v="TRON"/>
        <s v="Figure Heloc"/>
        <s v="Dogecoin"/>
        <s v="Hyperliquid"/>
        <s v="WhiteBIT Coin"/>
        <s v="Zcash"/>
        <s v="USDS"/>
        <s v="LEO Token"/>
        <s v="Cardano"/>
        <s v="Bitcoin Cash"/>
        <s v="Monero"/>
        <s v="Chainlink"/>
        <s v="Canton"/>
        <s v="Toncoin"/>
        <s v="Stellar"/>
        <s v="USD1"/>
        <s v="Ethena USDe"/>
        <s v="Sui"/>
        <s v="Dai"/>
        <s v="Litecoin"/>
        <s v="Avalanche"/>
        <s v="Hedera"/>
        <s v="MemeCore"/>
        <s v="PayPal USD"/>
        <s v="Rain"/>
        <s v="Shiba Inu"/>
        <s v="Cronos"/>
        <s v="Circle USYC"/>
        <s v="Bittensor"/>
        <s v="Tether Gold"/>
        <s v="Global Dollar"/>
        <s v="BlackRock USD Institutional Digital Liquidity Fund"/>
        <s v="Uniswap"/>
        <s v="NEAR Protocol"/>
        <s v="Mantle"/>
        <s v="Ondo US Dollar Yield"/>
        <s v="Polkadot"/>
        <s v="PAX Gold"/>
        <s v="Ondo"/>
        <s v="World Liberty Financial"/>
        <s v="Aster"/>
        <s v="HTX DAO"/>
        <s v="Falcon USD"/>
        <s v="Ripple USD"/>
        <s v="OKB"/>
        <s v="Sky"/>
        <s v="Pi Network"/>
        <s v="Pepe"/>
        <s v="USDD"/>
        <s v="Internet Computer"/>
        <s v="Bitget Token"/>
        <s v="Ethereum Classic"/>
        <s v="Aave"/>
        <s v="BFUSD"/>
        <s v="Morpho"/>
        <s v="USDtb"/>
        <s v="KuCoin"/>
        <s v="Quant"/>
        <s v="Spiko EU T-Bills Money Market Fund"/>
        <s v="Cosmos Hub"/>
        <s v="Algorand"/>
        <s v="United Stables"/>
        <s v="Render"/>
        <s v="Janus Henderson Anemoy Treasury Fund"/>
        <s v="Superstate Short Duration U.S. Government Securities Fund (USTB)"/>
        <s v="POL (ex-MATIC)"/>
        <s v="Blockchain Capital"/>
        <s v="Ethena"/>
        <s v="Kaspa"/>
        <s v="Worldcoin"/>
        <s v="NEXO"/>
        <s v="​​Stable"/>
        <s v="JUST"/>
        <s v="Aptos"/>
        <s v="Venice Token"/>
        <s v="Filecoin"/>
        <s v="Gate"/>
        <s v="Flare"/>
        <s v="XDC Network"/>
        <s v="Jupiter"/>
        <s v="Arbitrum"/>
        <s v="Pump.fun"/>
        <s v="DeXe"/>
        <s v="Dash"/>
        <s v="Beldex"/>
        <s v="Pudgy Penguins"/>
        <s v="GHO"/>
        <s v="VeChain"/>
        <s v="OUSG"/>
        <s v="Usual USD"/>
        <s v="Bonk"/>
        <s v="Kite"/>
        <s v="Provenance Blockchain"/>
        <s v="A7A5"/>
        <s v="YLDS"/>
        <s v="Midnight"/>
        <s v="TrueUSD"/>
        <s v="Injective"/>
        <s v="apxUSD"/>
        <s v="edgeX"/>
        <s v="Official Trump"/>
        <s v="Virtuals Protocol"/>
        <s v="PancakeSwap"/>
        <s v="Humanity"/>
        <s v="Stacks"/>
        <s v="Chiliz"/>
        <s v="币安人生 (BinanceLife)"/>
        <s v="Artificial Superintelligence Alliance"/>
        <s v="EURC"/>
        <s v="Janus Henderson Anemoy AAA CLO Fund"/>
        <s v="Terra Luna Classic"/>
        <s v="Spiko Amundi Overnight Swap Fund (EUR)"/>
        <s v="Sei"/>
        <s v="ADI"/>
        <s v="USX"/>
        <s v="Aerodrome Finance"/>
        <s v="Sun Token"/>
        <s v="DoubleZero"/>
        <s v="Tezos"/>
        <s v="First Digital USD"/>
        <s v="Siren"/>
        <s v="Celestia"/>
        <s v="Nexus"/>
        <s v="SPX6900"/>
        <s v="Curve DAO"/>
        <s v="Lighter"/>
        <s v="LayerZero"/>
        <s v="Kinesis Gold"/>
        <s v="SkyAI"/>
        <s v="Ether.fi"/>
        <s v="LAB"/>
        <s v="USDGO"/>
        <s v="Pyth Network"/>
        <s v="The9bit"/>
        <s v="Monad"/>
        <s v="BitTorrent"/>
        <s v="Pendle"/>
        <s v="Gnosis"/>
        <s v="Kaia"/>
        <s v="PRIME"/>
        <s v="Lido DAO"/>
        <s v="Decred"/>
        <s v="Bitcoin SV"/>
        <s v="BUILDon"/>
        <s v="Conflux"/>
        <s v="Telcoin"/>
        <s v="FLOKI"/>
        <s v="Zebec Network"/>
        <s v="USDai"/>
        <s v="JasmyCoin"/>
        <s v="Olympus"/>
        <s v="Kinesis Silver"/>
        <s v="AINFT"/>
        <s v="Starknet"/>
        <s v="Optimism"/>
        <s v="The Graph"/>
        <s v="Legacy Frax Dollar"/>
        <s v="ETHGas"/>
        <s v="Ethereum Name Service"/>
        <s v="Unibase"/>
        <s v="IOTA"/>
        <s v="Royal Dollar"/>
        <s v="MegaUSD"/>
        <s v="Ape and Pepe"/>
        <s v="Jito"/>
        <s v="Maple Finance"/>
        <s v="RealLink"/>
        <s v="Akash Network"/>
        <s v="crvUSD"/>
        <s v="Compound"/>
        <s v="Plasma"/>
        <s v="USDa"/>
        <s v="Falcon Finance"/>
        <s v="Axie Infinity"/>
        <s v="Block Street"/>
        <s v="Raydium"/>
        <s v="NEO"/>
        <s v="Grass"/>
        <s v="Theta Network"/>
        <s v="Tradable NA Rent Financing Platform SSTN"/>
        <s v="Pieverse"/>
        <s v="Billions Network"/>
        <s v="dogwifhat"/>
        <s v="OriginTrail"/>
        <s v="The Sandbox"/>
        <s v="Trust Wallet"/>
        <s v="Fartcoin"/>
        <s v="Undeads Games"/>
        <s v="BTSE Token"/>
        <s v="Onyxcoin"/>
        <s v="Re Protocol reUSD"/>
        <s v="apyUSD"/>
        <s v="Onchain Yield Coin"/>
      </sharedItems>
    </cacheField>
    <cacheField name="Current_price" numFmtId="0">
      <sharedItems containsSemiMixedTypes="0" containsString="0" containsNumber="1" minValue="2.8398599999999999E-7" maxValue="77625"/>
    </cacheField>
    <cacheField name="Change_1h" numFmtId="0">
      <sharedItems containsString="0" containsBlank="1" containsNumber="1" minValue="-6.1557530964273965" maxValue="4.2732958440488078"/>
    </cacheField>
    <cacheField name="Price_Filter" numFmtId="0">
      <sharedItems count="2">
        <s v="&gt;= $10"/>
        <s v="Up to $10"/>
      </sharedItems>
    </cacheField>
    <cacheField name="Previous_1h_Price" numFmtId="0">
      <sharedItems containsSemiMixedTypes="0" containsString="0" containsNumber="1" minValue="2.8733119903821651E-7" maxValue="77835.146768137929"/>
    </cacheField>
    <cacheField name="Price_Change" numFmtId="0">
      <sharedItems containsSemiMixedTypes="0" containsString="0" containsNumber="1" minValue="-210.14676813792903" maxValue="1.4379300287082515"/>
    </cacheField>
  </cacheFields>
  <extLst>
    <ext xmlns:x14="http://schemas.microsoft.com/office/spreadsheetml/2009/9/main" uri="{725AE2AE-9491-48be-B2B4-4EB974FC3084}">
      <x14:pivotCacheDefinition pivotCacheId="99900771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2.512428472219" createdVersion="8" refreshedVersion="8" minRefreshableVersion="3" recordCount="200" xr:uid="{9F5B00AC-B5A2-46D3-BC7A-CBF3262B2D94}">
  <cacheSource type="worksheet">
    <worksheetSource name="Table4"/>
  </cacheSource>
  <cacheFields count="9">
    <cacheField name="Symbol" numFmtId="0">
      <sharedItems/>
    </cacheField>
    <cacheField name="Name" numFmtId="0">
      <sharedItems count="200">
        <s v="Bitcoin"/>
        <s v="Ethereum"/>
        <s v="Tether"/>
        <s v="BNB"/>
        <s v="XRP"/>
        <s v="USDC"/>
        <s v="Solana"/>
        <s v="TRON"/>
        <s v="Figure Heloc"/>
        <s v="Dogecoin"/>
        <s v="Hyperliquid"/>
        <s v="WhiteBIT Coin"/>
        <s v="Zcash"/>
        <s v="USDS"/>
        <s v="LEO Token"/>
        <s v="Cardano"/>
        <s v="Bitcoin Cash"/>
        <s v="Monero"/>
        <s v="Chainlink"/>
        <s v="Canton"/>
        <s v="Toncoin"/>
        <s v="Stellar"/>
        <s v="USD1"/>
        <s v="Ethena USDe"/>
        <s v="Sui"/>
        <s v="Dai"/>
        <s v="Litecoin"/>
        <s v="Avalanche"/>
        <s v="Hedera"/>
        <s v="MemeCore"/>
        <s v="PayPal USD"/>
        <s v="Rain"/>
        <s v="Shiba Inu"/>
        <s v="Cronos"/>
        <s v="Circle USYC"/>
        <s v="Bittensor"/>
        <s v="Tether Gold"/>
        <s v="Global Dollar"/>
        <s v="BlackRock USD Institutional Digital Liquidity Fund"/>
        <s v="Uniswap"/>
        <s v="NEAR Protocol"/>
        <s v="Mantle"/>
        <s v="Ondo US Dollar Yield"/>
        <s v="Polkadot"/>
        <s v="PAX Gold"/>
        <s v="Ondo"/>
        <s v="World Liberty Financial"/>
        <s v="Aster"/>
        <s v="HTX DAO"/>
        <s v="Falcon USD"/>
        <s v="Ripple USD"/>
        <s v="OKB"/>
        <s v="Sky"/>
        <s v="Pi Network"/>
        <s v="Pepe"/>
        <s v="USDD"/>
        <s v="Internet Computer"/>
        <s v="Bitget Token"/>
        <s v="Ethereum Classic"/>
        <s v="Aave"/>
        <s v="BFUSD"/>
        <s v="Morpho"/>
        <s v="USDtb"/>
        <s v="KuCoin"/>
        <s v="Quant"/>
        <s v="Spiko EU T-Bills Money Market Fund"/>
        <s v="Cosmos Hub"/>
        <s v="Algorand"/>
        <s v="United Stables"/>
        <s v="Render"/>
        <s v="Janus Henderson Anemoy Treasury Fund"/>
        <s v="Superstate Short Duration U.S. Government Securities Fund (USTB)"/>
        <s v="POL (ex-MATIC)"/>
        <s v="Blockchain Capital"/>
        <s v="Ethena"/>
        <s v="Kaspa"/>
        <s v="Worldcoin"/>
        <s v="NEXO"/>
        <s v="​​Stable"/>
        <s v="JUST"/>
        <s v="Aptos"/>
        <s v="Venice Token"/>
        <s v="Filecoin"/>
        <s v="Gate"/>
        <s v="Flare"/>
        <s v="XDC Network"/>
        <s v="Jupiter"/>
        <s v="Arbitrum"/>
        <s v="Pump.fun"/>
        <s v="DeXe"/>
        <s v="Dash"/>
        <s v="Beldex"/>
        <s v="Pudgy Penguins"/>
        <s v="GHO"/>
        <s v="VeChain"/>
        <s v="OUSG"/>
        <s v="Usual USD"/>
        <s v="Bonk"/>
        <s v="Kite"/>
        <s v="Provenance Blockchain"/>
        <s v="A7A5"/>
        <s v="YLDS"/>
        <s v="Midnight"/>
        <s v="TrueUSD"/>
        <s v="Injective"/>
        <s v="apxUSD"/>
        <s v="edgeX"/>
        <s v="Official Trump"/>
        <s v="Virtuals Protocol"/>
        <s v="PancakeSwap"/>
        <s v="Humanity"/>
        <s v="Stacks"/>
        <s v="Chiliz"/>
        <s v="币安人生 (BinanceLife)"/>
        <s v="Artificial Superintelligence Alliance"/>
        <s v="EURC"/>
        <s v="Janus Henderson Anemoy AAA CLO Fund"/>
        <s v="Terra Luna Classic"/>
        <s v="Spiko Amundi Overnight Swap Fund (EUR)"/>
        <s v="Sei"/>
        <s v="ADI"/>
        <s v="USX"/>
        <s v="Aerodrome Finance"/>
        <s v="Sun Token"/>
        <s v="DoubleZero"/>
        <s v="Tezos"/>
        <s v="First Digital USD"/>
        <s v="Siren"/>
        <s v="Celestia"/>
        <s v="Nexus"/>
        <s v="SPX6900"/>
        <s v="Curve DAO"/>
        <s v="Lighter"/>
        <s v="LayerZero"/>
        <s v="Kinesis Gold"/>
        <s v="SkyAI"/>
        <s v="Ether.fi"/>
        <s v="LAB"/>
        <s v="USDGO"/>
        <s v="Pyth Network"/>
        <s v="The9bit"/>
        <s v="Monad"/>
        <s v="BitTorrent"/>
        <s v="Pendle"/>
        <s v="Gnosis"/>
        <s v="Kaia"/>
        <s v="PRIME"/>
        <s v="Lido DAO"/>
        <s v="Decred"/>
        <s v="Bitcoin SV"/>
        <s v="BUILDon"/>
        <s v="Conflux"/>
        <s v="Telcoin"/>
        <s v="FLOKI"/>
        <s v="Zebec Network"/>
        <s v="USDai"/>
        <s v="JasmyCoin"/>
        <s v="Olympus"/>
        <s v="Kinesis Silver"/>
        <s v="AINFT"/>
        <s v="Starknet"/>
        <s v="Optimism"/>
        <s v="The Graph"/>
        <s v="Legacy Frax Dollar"/>
        <s v="ETHGas"/>
        <s v="Ethereum Name Service"/>
        <s v="Unibase"/>
        <s v="IOTA"/>
        <s v="Royal Dollar"/>
        <s v="MegaUSD"/>
        <s v="Ape and Pepe"/>
        <s v="Jito"/>
        <s v="Maple Finance"/>
        <s v="RealLink"/>
        <s v="Akash Network"/>
        <s v="crvUSD"/>
        <s v="Compound"/>
        <s v="Plasma"/>
        <s v="USDa"/>
        <s v="Falcon Finance"/>
        <s v="Axie Infinity"/>
        <s v="Block Street"/>
        <s v="Raydium"/>
        <s v="NEO"/>
        <s v="Grass"/>
        <s v="Theta Network"/>
        <s v="Tradable NA Rent Financing Platform SSTN"/>
        <s v="Pieverse"/>
        <s v="Billions Network"/>
        <s v="dogwifhat"/>
        <s v="OriginTrail"/>
        <s v="The Sandbox"/>
        <s v="Trust Wallet"/>
        <s v="Fartcoin"/>
        <s v="Undeads Games"/>
        <s v="BTSE Token"/>
        <s v="Onyxcoin"/>
        <s v="Re Protocol reUSD"/>
        <s v="apyUSD"/>
        <s v="Onchain Yield Coin"/>
      </sharedItems>
    </cacheField>
    <cacheField name="Current_price" numFmtId="0">
      <sharedItems containsSemiMixedTypes="0" containsString="0" containsNumber="1" minValue="2.8398599999999999E-7" maxValue="77625"/>
    </cacheField>
    <cacheField name="Change_1h" numFmtId="0">
      <sharedItems containsString="0" containsBlank="1" containsNumber="1" minValue="-6.1557530964273965" maxValue="4.2732958440488078"/>
    </cacheField>
    <cacheField name="Change_24h" numFmtId="0">
      <sharedItems containsString="0" containsBlank="1" containsNumber="1" minValue="-27.224499999999999" maxValue="44.260750000000002"/>
    </cacheField>
    <cacheField name="Change_7d" numFmtId="0">
      <sharedItems containsString="0" containsBlank="1" containsNumber="1" minValue="-51.941091670988307" maxValue="129.29528660678614"/>
    </cacheField>
    <cacheField name="Price_Range" numFmtId="0">
      <sharedItems count="2">
        <s v="&gt;5"/>
        <s v="0-5"/>
      </sharedItems>
    </cacheField>
    <cacheField name="Price_7D" numFmtId="0">
      <sharedItems containsSemiMixedTypes="0" containsString="0" containsNumber="1" minValue="3.0244988620847876E-7" maxValue="79785.726961759574"/>
    </cacheField>
    <cacheField name="Price_24H" numFmtId="0">
      <sharedItems containsSemiMixedTypes="0" containsString="0" containsNumber="1" minValue="2.8457421490220285E-7" maxValue="77839.408651129532"/>
    </cacheField>
  </cacheFields>
  <extLst>
    <ext xmlns:x14="http://schemas.microsoft.com/office/spreadsheetml/2009/9/main" uri="{725AE2AE-9491-48be-B2B4-4EB974FC3084}">
      <x14:pivotCacheDefinition pivotCacheId="118038865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2.519641203704" createdVersion="8" refreshedVersion="8" minRefreshableVersion="3" recordCount="200" xr:uid="{B369FE2D-5013-48F2-BD70-21921B0F3D48}">
  <cacheSource type="worksheet">
    <worksheetSource name="Table5"/>
  </cacheSource>
  <cacheFields count="8">
    <cacheField name="Symbol" numFmtId="0">
      <sharedItems/>
    </cacheField>
    <cacheField name="Name" numFmtId="0">
      <sharedItems count="200">
        <s v="Bitcoin"/>
        <s v="Ethereum"/>
        <s v="Tether"/>
        <s v="BNB"/>
        <s v="XRP"/>
        <s v="USDC"/>
        <s v="Solana"/>
        <s v="TRON"/>
        <s v="Figure Heloc"/>
        <s v="Dogecoin"/>
        <s v="Hyperliquid"/>
        <s v="WhiteBIT Coin"/>
        <s v="Zcash"/>
        <s v="USDS"/>
        <s v="LEO Token"/>
        <s v="Cardano"/>
        <s v="Bitcoin Cash"/>
        <s v="Monero"/>
        <s v="Chainlink"/>
        <s v="Canton"/>
        <s v="Toncoin"/>
        <s v="Stellar"/>
        <s v="USD1"/>
        <s v="Ethena USDe"/>
        <s v="Sui"/>
        <s v="Dai"/>
        <s v="Litecoin"/>
        <s v="Avalanche"/>
        <s v="Hedera"/>
        <s v="MemeCore"/>
        <s v="PayPal USD"/>
        <s v="Rain"/>
        <s v="Shiba Inu"/>
        <s v="Cronos"/>
        <s v="Circle USYC"/>
        <s v="Bittensor"/>
        <s v="Tether Gold"/>
        <s v="Global Dollar"/>
        <s v="BlackRock USD Institutional Digital Liquidity Fund"/>
        <s v="Uniswap"/>
        <s v="NEAR Protocol"/>
        <s v="Mantle"/>
        <s v="Ondo US Dollar Yield"/>
        <s v="Polkadot"/>
        <s v="PAX Gold"/>
        <s v="Ondo"/>
        <s v="World Liberty Financial"/>
        <s v="Aster"/>
        <s v="HTX DAO"/>
        <s v="Falcon USD"/>
        <s v="Ripple USD"/>
        <s v="OKB"/>
        <s v="Sky"/>
        <s v="Pi Network"/>
        <s v="Pepe"/>
        <s v="USDD"/>
        <s v="Internet Computer"/>
        <s v="Bitget Token"/>
        <s v="Ethereum Classic"/>
        <s v="Aave"/>
        <s v="BFUSD"/>
        <s v="Morpho"/>
        <s v="USDtb"/>
        <s v="KuCoin"/>
        <s v="Quant"/>
        <s v="Spiko EU T-Bills Money Market Fund"/>
        <s v="Cosmos Hub"/>
        <s v="Algorand"/>
        <s v="United Stables"/>
        <s v="Render"/>
        <s v="Janus Henderson Anemoy Treasury Fund"/>
        <s v="Superstate Short Duration U.S. Government Securities Fund (USTB)"/>
        <s v="POL (ex-MATIC)"/>
        <s v="Blockchain Capital"/>
        <s v="Ethena"/>
        <s v="Kaspa"/>
        <s v="Worldcoin"/>
        <s v="NEXO"/>
        <s v="​​Stable"/>
        <s v="JUST"/>
        <s v="Aptos"/>
        <s v="Venice Token"/>
        <s v="Filecoin"/>
        <s v="Gate"/>
        <s v="Flare"/>
        <s v="XDC Network"/>
        <s v="Jupiter"/>
        <s v="Arbitrum"/>
        <s v="Pump.fun"/>
        <s v="DeXe"/>
        <s v="Dash"/>
        <s v="Beldex"/>
        <s v="Pudgy Penguins"/>
        <s v="GHO"/>
        <s v="VeChain"/>
        <s v="OUSG"/>
        <s v="Usual USD"/>
        <s v="Bonk"/>
        <s v="Kite"/>
        <s v="Provenance Blockchain"/>
        <s v="A7A5"/>
        <s v="YLDS"/>
        <s v="Midnight"/>
        <s v="TrueUSD"/>
        <s v="Injective"/>
        <s v="apxUSD"/>
        <s v="edgeX"/>
        <s v="Official Trump"/>
        <s v="Virtuals Protocol"/>
        <s v="PancakeSwap"/>
        <s v="Humanity"/>
        <s v="Stacks"/>
        <s v="Chiliz"/>
        <s v="币安人生 (BinanceLife)"/>
        <s v="Artificial Superintelligence Alliance"/>
        <s v="EURC"/>
        <s v="Janus Henderson Anemoy AAA CLO Fund"/>
        <s v="Terra Luna Classic"/>
        <s v="Spiko Amundi Overnight Swap Fund (EUR)"/>
        <s v="Sei"/>
        <s v="ADI"/>
        <s v="USX"/>
        <s v="Aerodrome Finance"/>
        <s v="Sun Token"/>
        <s v="DoubleZero"/>
        <s v="Tezos"/>
        <s v="First Digital USD"/>
        <s v="Siren"/>
        <s v="Celestia"/>
        <s v="Nexus"/>
        <s v="SPX6900"/>
        <s v="Curve DAO"/>
        <s v="Lighter"/>
        <s v="LayerZero"/>
        <s v="Kinesis Gold"/>
        <s v="SkyAI"/>
        <s v="Ether.fi"/>
        <s v="LAB"/>
        <s v="USDGO"/>
        <s v="Pyth Network"/>
        <s v="The9bit"/>
        <s v="Monad"/>
        <s v="BitTorrent"/>
        <s v="Pendle"/>
        <s v="Gnosis"/>
        <s v="Kaia"/>
        <s v="PRIME"/>
        <s v="Lido DAO"/>
        <s v="Decred"/>
        <s v="Bitcoin SV"/>
        <s v="BUILDon"/>
        <s v="Conflux"/>
        <s v="Telcoin"/>
        <s v="FLOKI"/>
        <s v="Zebec Network"/>
        <s v="USDai"/>
        <s v="JasmyCoin"/>
        <s v="Olympus"/>
        <s v="Kinesis Silver"/>
        <s v="AINFT"/>
        <s v="Starknet"/>
        <s v="Optimism"/>
        <s v="The Graph"/>
        <s v="Legacy Frax Dollar"/>
        <s v="ETHGas"/>
        <s v="Ethereum Name Service"/>
        <s v="Unibase"/>
        <s v="IOTA"/>
        <s v="Royal Dollar"/>
        <s v="MegaUSD"/>
        <s v="Ape and Pepe"/>
        <s v="Jito"/>
        <s v="Maple Finance"/>
        <s v="RealLink"/>
        <s v="Akash Network"/>
        <s v="crvUSD"/>
        <s v="Compound"/>
        <s v="Plasma"/>
        <s v="USDa"/>
        <s v="Falcon Finance"/>
        <s v="Axie Infinity"/>
        <s v="Block Street"/>
        <s v="Raydium"/>
        <s v="NEO"/>
        <s v="Grass"/>
        <s v="Theta Network"/>
        <s v="Tradable NA Rent Financing Platform SSTN"/>
        <s v="Pieverse"/>
        <s v="Billions Network"/>
        <s v="dogwifhat"/>
        <s v="OriginTrail"/>
        <s v="The Sandbox"/>
        <s v="Trust Wallet"/>
        <s v="Fartcoin"/>
        <s v="Undeads Games"/>
        <s v="BTSE Token"/>
        <s v="Onyxcoin"/>
        <s v="Re Protocol reUSD"/>
        <s v="apyUSD"/>
        <s v="Onchain Yield Coin"/>
      </sharedItems>
    </cacheField>
    <cacheField name="Current_price" numFmtId="0">
      <sharedItems containsSemiMixedTypes="0" containsString="0" containsNumber="1" minValue="2.8398599999999999E-7" maxValue="77625"/>
    </cacheField>
    <cacheField name="Change_1h" numFmtId="0">
      <sharedItems containsString="0" containsBlank="1" containsNumber="1" minValue="-6.1557530964273965" maxValue="4.2732958440488078"/>
    </cacheField>
    <cacheField name="Change_24h" numFmtId="0">
      <sharedItems containsString="0" containsBlank="1" containsNumber="1" minValue="-27.224499999999999" maxValue="44.260750000000002"/>
    </cacheField>
    <cacheField name="Change_7d" numFmtId="0">
      <sharedItems containsString="0" containsBlank="1" containsNumber="1" minValue="-51.941091670988307" maxValue="129.29528660678614"/>
    </cacheField>
    <cacheField name="Price_Range" numFmtId="0">
      <sharedItems count="5">
        <s v="&gt;50"/>
        <s v="0.5-5"/>
        <s v="0.05-0.5"/>
        <s v="5-50"/>
        <s v="0-0.05"/>
      </sharedItems>
    </cacheField>
    <cacheField name="Avg_Downfall" numFmtId="0">
      <sharedItems containsSemiMixedTypes="0" containsString="0" containsNumber="1" minValue="0" maxValue="48.461288136269808"/>
    </cacheField>
  </cacheFields>
  <extLst>
    <ext xmlns:x14="http://schemas.microsoft.com/office/spreadsheetml/2009/9/main" uri="{725AE2AE-9491-48be-B2B4-4EB974FC3084}">
      <x14:pivotCacheDefinition pivotCacheId="4097515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x v="0"/>
    <x v="0"/>
    <x v="0"/>
    <x v="0"/>
    <x v="0"/>
    <x v="0"/>
    <x v="0"/>
    <x v="0"/>
    <x v="0"/>
    <x v="0"/>
    <x v="0"/>
  </r>
  <r>
    <x v="0"/>
    <x v="1"/>
    <x v="1"/>
    <x v="1"/>
    <x v="1"/>
    <x v="1"/>
    <x v="1"/>
    <x v="1"/>
    <x v="1"/>
    <x v="1"/>
    <x v="0"/>
    <x v="0"/>
    <x v="1"/>
  </r>
  <r>
    <x v="0"/>
    <x v="2"/>
    <x v="2"/>
    <x v="2"/>
    <x v="2"/>
    <x v="2"/>
    <x v="2"/>
    <x v="2"/>
    <x v="2"/>
    <x v="2"/>
    <x v="1"/>
    <x v="1"/>
    <x v="2"/>
  </r>
  <r>
    <x v="0"/>
    <x v="3"/>
    <x v="3"/>
    <x v="3"/>
    <x v="3"/>
    <x v="3"/>
    <x v="3"/>
    <x v="3"/>
    <x v="3"/>
    <x v="0"/>
    <x v="0"/>
    <x v="0"/>
    <x v="3"/>
  </r>
  <r>
    <x v="0"/>
    <x v="4"/>
    <x v="4"/>
    <x v="4"/>
    <x v="4"/>
    <x v="4"/>
    <x v="4"/>
    <x v="4"/>
    <x v="4"/>
    <x v="3"/>
    <x v="1"/>
    <x v="1"/>
    <x v="4"/>
  </r>
  <r>
    <x v="0"/>
    <x v="5"/>
    <x v="5"/>
    <x v="5"/>
    <x v="5"/>
    <x v="5"/>
    <x v="5"/>
    <x v="5"/>
    <x v="5"/>
    <x v="4"/>
    <x v="0"/>
    <x v="1"/>
    <x v="5"/>
  </r>
  <r>
    <x v="0"/>
    <x v="6"/>
    <x v="6"/>
    <x v="6"/>
    <x v="6"/>
    <x v="6"/>
    <x v="6"/>
    <x v="6"/>
    <x v="6"/>
    <x v="5"/>
    <x v="1"/>
    <x v="0"/>
    <x v="6"/>
  </r>
  <r>
    <x v="0"/>
    <x v="7"/>
    <x v="7"/>
    <x v="7"/>
    <x v="7"/>
    <x v="7"/>
    <x v="7"/>
    <x v="7"/>
    <x v="7"/>
    <x v="2"/>
    <x v="1"/>
    <x v="2"/>
    <x v="7"/>
  </r>
  <r>
    <x v="0"/>
    <x v="8"/>
    <x v="8"/>
    <x v="8"/>
    <x v="8"/>
    <x v="8"/>
    <x v="8"/>
    <x v="8"/>
    <x v="8"/>
    <x v="6"/>
    <x v="1"/>
    <x v="1"/>
    <x v="8"/>
  </r>
  <r>
    <x v="0"/>
    <x v="9"/>
    <x v="9"/>
    <x v="9"/>
    <x v="9"/>
    <x v="9"/>
    <x v="9"/>
    <x v="9"/>
    <x v="9"/>
    <x v="7"/>
    <x v="0"/>
    <x v="2"/>
    <x v="9"/>
  </r>
  <r>
    <x v="0"/>
    <x v="10"/>
    <x v="10"/>
    <x v="10"/>
    <x v="10"/>
    <x v="10"/>
    <x v="10"/>
    <x v="10"/>
    <x v="10"/>
    <x v="8"/>
    <x v="1"/>
    <x v="0"/>
    <x v="10"/>
  </r>
  <r>
    <x v="0"/>
    <x v="11"/>
    <x v="11"/>
    <x v="11"/>
    <x v="11"/>
    <x v="11"/>
    <x v="11"/>
    <x v="11"/>
    <x v="11"/>
    <x v="9"/>
    <x v="1"/>
    <x v="0"/>
    <x v="11"/>
  </r>
  <r>
    <x v="0"/>
    <x v="12"/>
    <x v="12"/>
    <x v="12"/>
    <x v="12"/>
    <x v="12"/>
    <x v="12"/>
    <x v="12"/>
    <x v="12"/>
    <x v="10"/>
    <x v="1"/>
    <x v="0"/>
    <x v="12"/>
  </r>
  <r>
    <x v="0"/>
    <x v="13"/>
    <x v="13"/>
    <x v="13"/>
    <x v="13"/>
    <x v="13"/>
    <x v="13"/>
    <x v="13"/>
    <x v="13"/>
    <x v="4"/>
    <x v="0"/>
    <x v="1"/>
    <x v="13"/>
  </r>
  <r>
    <x v="0"/>
    <x v="14"/>
    <x v="14"/>
    <x v="14"/>
    <x v="14"/>
    <x v="14"/>
    <x v="14"/>
    <x v="14"/>
    <x v="14"/>
    <x v="11"/>
    <x v="1"/>
    <x v="3"/>
    <x v="14"/>
  </r>
  <r>
    <x v="0"/>
    <x v="15"/>
    <x v="15"/>
    <x v="15"/>
    <x v="15"/>
    <x v="15"/>
    <x v="15"/>
    <x v="15"/>
    <x v="15"/>
    <x v="12"/>
    <x v="0"/>
    <x v="2"/>
    <x v="15"/>
  </r>
  <r>
    <x v="0"/>
    <x v="16"/>
    <x v="16"/>
    <x v="16"/>
    <x v="16"/>
    <x v="16"/>
    <x v="16"/>
    <x v="16"/>
    <x v="16"/>
    <x v="0"/>
    <x v="0"/>
    <x v="0"/>
    <x v="16"/>
  </r>
  <r>
    <x v="0"/>
    <x v="17"/>
    <x v="17"/>
    <x v="17"/>
    <x v="17"/>
    <x v="17"/>
    <x v="17"/>
    <x v="17"/>
    <x v="17"/>
    <x v="13"/>
    <x v="1"/>
    <x v="0"/>
    <x v="17"/>
  </r>
  <r>
    <x v="0"/>
    <x v="18"/>
    <x v="18"/>
    <x v="18"/>
    <x v="18"/>
    <x v="18"/>
    <x v="18"/>
    <x v="18"/>
    <x v="18"/>
    <x v="12"/>
    <x v="0"/>
    <x v="3"/>
    <x v="18"/>
  </r>
  <r>
    <x v="0"/>
    <x v="19"/>
    <x v="19"/>
    <x v="19"/>
    <x v="19"/>
    <x v="19"/>
    <x v="19"/>
    <x v="19"/>
    <x v="19"/>
    <x v="12"/>
    <x v="0"/>
    <x v="2"/>
    <x v="19"/>
  </r>
  <r>
    <x v="0"/>
    <x v="20"/>
    <x v="20"/>
    <x v="20"/>
    <x v="20"/>
    <x v="20"/>
    <x v="20"/>
    <x v="20"/>
    <x v="20"/>
    <x v="2"/>
    <x v="1"/>
    <x v="1"/>
    <x v="20"/>
  </r>
  <r>
    <x v="0"/>
    <x v="21"/>
    <x v="21"/>
    <x v="21"/>
    <x v="21"/>
    <x v="21"/>
    <x v="21"/>
    <x v="21"/>
    <x v="21"/>
    <x v="5"/>
    <x v="1"/>
    <x v="2"/>
    <x v="21"/>
  </r>
  <r>
    <x v="0"/>
    <x v="22"/>
    <x v="22"/>
    <x v="22"/>
    <x v="22"/>
    <x v="22"/>
    <x v="22"/>
    <x v="22"/>
    <x v="22"/>
    <x v="4"/>
    <x v="0"/>
    <x v="1"/>
    <x v="22"/>
  </r>
  <r>
    <x v="0"/>
    <x v="23"/>
    <x v="23"/>
    <x v="23"/>
    <x v="23"/>
    <x v="23"/>
    <x v="23"/>
    <x v="23"/>
    <x v="23"/>
    <x v="1"/>
    <x v="0"/>
    <x v="1"/>
    <x v="23"/>
  </r>
  <r>
    <x v="0"/>
    <x v="24"/>
    <x v="24"/>
    <x v="24"/>
    <x v="24"/>
    <x v="24"/>
    <x v="24"/>
    <x v="24"/>
    <x v="24"/>
    <x v="5"/>
    <x v="1"/>
    <x v="1"/>
    <x v="24"/>
  </r>
  <r>
    <x v="0"/>
    <x v="25"/>
    <x v="25"/>
    <x v="25"/>
    <x v="25"/>
    <x v="25"/>
    <x v="25"/>
    <x v="25"/>
    <x v="25"/>
    <x v="7"/>
    <x v="0"/>
    <x v="1"/>
    <x v="25"/>
  </r>
  <r>
    <x v="0"/>
    <x v="26"/>
    <x v="26"/>
    <x v="26"/>
    <x v="26"/>
    <x v="26"/>
    <x v="26"/>
    <x v="26"/>
    <x v="26"/>
    <x v="11"/>
    <x v="1"/>
    <x v="0"/>
    <x v="26"/>
  </r>
  <r>
    <x v="0"/>
    <x v="27"/>
    <x v="27"/>
    <x v="27"/>
    <x v="27"/>
    <x v="27"/>
    <x v="27"/>
    <x v="27"/>
    <x v="27"/>
    <x v="14"/>
    <x v="0"/>
    <x v="3"/>
    <x v="27"/>
  </r>
  <r>
    <x v="0"/>
    <x v="28"/>
    <x v="28"/>
    <x v="28"/>
    <x v="28"/>
    <x v="28"/>
    <x v="28"/>
    <x v="28"/>
    <x v="28"/>
    <x v="8"/>
    <x v="1"/>
    <x v="2"/>
    <x v="28"/>
  </r>
  <r>
    <x v="0"/>
    <x v="29"/>
    <x v="29"/>
    <x v="29"/>
    <x v="29"/>
    <x v="29"/>
    <x v="29"/>
    <x v="29"/>
    <x v="29"/>
    <x v="13"/>
    <x v="1"/>
    <x v="1"/>
    <x v="29"/>
  </r>
  <r>
    <x v="0"/>
    <x v="30"/>
    <x v="30"/>
    <x v="30"/>
    <x v="30"/>
    <x v="30"/>
    <x v="30"/>
    <x v="30"/>
    <x v="30"/>
    <x v="15"/>
    <x v="1"/>
    <x v="1"/>
    <x v="30"/>
  </r>
  <r>
    <x v="0"/>
    <x v="31"/>
    <x v="31"/>
    <x v="31"/>
    <x v="31"/>
    <x v="31"/>
    <x v="31"/>
    <x v="31"/>
    <x v="31"/>
    <x v="16"/>
    <x v="1"/>
    <x v="4"/>
    <x v="31"/>
  </r>
  <r>
    <x v="0"/>
    <x v="32"/>
    <x v="32"/>
    <x v="32"/>
    <x v="32"/>
    <x v="32"/>
    <x v="32"/>
    <x v="32"/>
    <x v="32"/>
    <x v="5"/>
    <x v="1"/>
    <x v="4"/>
    <x v="32"/>
  </r>
  <r>
    <x v="0"/>
    <x v="33"/>
    <x v="33"/>
    <x v="33"/>
    <x v="33"/>
    <x v="33"/>
    <x v="33"/>
    <x v="33"/>
    <x v="33"/>
    <x v="12"/>
    <x v="0"/>
    <x v="2"/>
    <x v="33"/>
  </r>
  <r>
    <x v="0"/>
    <x v="34"/>
    <x v="34"/>
    <x v="34"/>
    <x v="34"/>
    <x v="34"/>
    <x v="34"/>
    <x v="8"/>
    <x v="34"/>
    <x v="12"/>
    <x v="0"/>
    <x v="1"/>
    <x v="34"/>
  </r>
  <r>
    <x v="0"/>
    <x v="35"/>
    <x v="35"/>
    <x v="35"/>
    <x v="35"/>
    <x v="35"/>
    <x v="35"/>
    <x v="34"/>
    <x v="35"/>
    <x v="0"/>
    <x v="0"/>
    <x v="0"/>
    <x v="35"/>
  </r>
  <r>
    <x v="0"/>
    <x v="36"/>
    <x v="36"/>
    <x v="36"/>
    <x v="36"/>
    <x v="36"/>
    <x v="36"/>
    <x v="35"/>
    <x v="36"/>
    <x v="2"/>
    <x v="1"/>
    <x v="0"/>
    <x v="36"/>
  </r>
  <r>
    <x v="0"/>
    <x v="37"/>
    <x v="37"/>
    <x v="37"/>
    <x v="37"/>
    <x v="37"/>
    <x v="37"/>
    <x v="36"/>
    <x v="37"/>
    <x v="17"/>
    <x v="1"/>
    <x v="1"/>
    <x v="37"/>
  </r>
  <r>
    <x v="0"/>
    <x v="38"/>
    <x v="38"/>
    <x v="38"/>
    <x v="38"/>
    <x v="38"/>
    <x v="38"/>
    <x v="37"/>
    <x v="38"/>
    <x v="0"/>
    <x v="0"/>
    <x v="1"/>
    <x v="38"/>
  </r>
  <r>
    <x v="0"/>
    <x v="39"/>
    <x v="39"/>
    <x v="39"/>
    <x v="39"/>
    <x v="39"/>
    <x v="39"/>
    <x v="38"/>
    <x v="39"/>
    <x v="4"/>
    <x v="0"/>
    <x v="1"/>
    <x v="39"/>
  </r>
  <r>
    <x v="0"/>
    <x v="40"/>
    <x v="40"/>
    <x v="40"/>
    <x v="40"/>
    <x v="40"/>
    <x v="40"/>
    <x v="39"/>
    <x v="40"/>
    <x v="18"/>
    <x v="1"/>
    <x v="1"/>
    <x v="40"/>
  </r>
  <r>
    <x v="0"/>
    <x v="41"/>
    <x v="41"/>
    <x v="41"/>
    <x v="41"/>
    <x v="41"/>
    <x v="41"/>
    <x v="40"/>
    <x v="41"/>
    <x v="13"/>
    <x v="1"/>
    <x v="1"/>
    <x v="41"/>
  </r>
  <r>
    <x v="0"/>
    <x v="42"/>
    <x v="42"/>
    <x v="42"/>
    <x v="42"/>
    <x v="42"/>
    <x v="42"/>
    <x v="41"/>
    <x v="42"/>
    <x v="19"/>
    <x v="0"/>
    <x v="1"/>
    <x v="42"/>
  </r>
  <r>
    <x v="0"/>
    <x v="43"/>
    <x v="43"/>
    <x v="43"/>
    <x v="43"/>
    <x v="43"/>
    <x v="43"/>
    <x v="42"/>
    <x v="43"/>
    <x v="15"/>
    <x v="1"/>
    <x v="1"/>
    <x v="43"/>
  </r>
  <r>
    <x v="0"/>
    <x v="44"/>
    <x v="44"/>
    <x v="44"/>
    <x v="44"/>
    <x v="44"/>
    <x v="44"/>
    <x v="43"/>
    <x v="44"/>
    <x v="15"/>
    <x v="1"/>
    <x v="0"/>
    <x v="44"/>
  </r>
  <r>
    <x v="0"/>
    <x v="45"/>
    <x v="45"/>
    <x v="45"/>
    <x v="45"/>
    <x v="45"/>
    <x v="45"/>
    <x v="44"/>
    <x v="45"/>
    <x v="19"/>
    <x v="0"/>
    <x v="2"/>
    <x v="45"/>
  </r>
  <r>
    <x v="0"/>
    <x v="46"/>
    <x v="46"/>
    <x v="46"/>
    <x v="46"/>
    <x v="46"/>
    <x v="46"/>
    <x v="45"/>
    <x v="46"/>
    <x v="9"/>
    <x v="1"/>
    <x v="2"/>
    <x v="46"/>
  </r>
  <r>
    <x v="0"/>
    <x v="47"/>
    <x v="47"/>
    <x v="47"/>
    <x v="47"/>
    <x v="47"/>
    <x v="47"/>
    <x v="46"/>
    <x v="47"/>
    <x v="14"/>
    <x v="0"/>
    <x v="1"/>
    <x v="47"/>
  </r>
  <r>
    <x v="0"/>
    <x v="48"/>
    <x v="48"/>
    <x v="48"/>
    <x v="48"/>
    <x v="48"/>
    <x v="48"/>
    <x v="47"/>
    <x v="48"/>
    <x v="8"/>
    <x v="1"/>
    <x v="4"/>
    <x v="48"/>
  </r>
  <r>
    <x v="0"/>
    <x v="49"/>
    <x v="49"/>
    <x v="49"/>
    <x v="49"/>
    <x v="49"/>
    <x v="49"/>
    <x v="48"/>
    <x v="49"/>
    <x v="6"/>
    <x v="1"/>
    <x v="1"/>
    <x v="49"/>
  </r>
  <r>
    <x v="0"/>
    <x v="50"/>
    <x v="50"/>
    <x v="50"/>
    <x v="50"/>
    <x v="50"/>
    <x v="50"/>
    <x v="49"/>
    <x v="50"/>
    <x v="16"/>
    <x v="1"/>
    <x v="1"/>
    <x v="50"/>
  </r>
  <r>
    <x v="0"/>
    <x v="51"/>
    <x v="51"/>
    <x v="51"/>
    <x v="51"/>
    <x v="51"/>
    <x v="51"/>
    <x v="50"/>
    <x v="51"/>
    <x v="19"/>
    <x v="0"/>
    <x v="0"/>
    <x v="51"/>
  </r>
  <r>
    <x v="0"/>
    <x v="52"/>
    <x v="52"/>
    <x v="52"/>
    <x v="52"/>
    <x v="52"/>
    <x v="52"/>
    <x v="51"/>
    <x v="52"/>
    <x v="5"/>
    <x v="1"/>
    <x v="2"/>
    <x v="52"/>
  </r>
  <r>
    <x v="0"/>
    <x v="53"/>
    <x v="53"/>
    <x v="53"/>
    <x v="53"/>
    <x v="53"/>
    <x v="53"/>
    <x v="52"/>
    <x v="53"/>
    <x v="15"/>
    <x v="1"/>
    <x v="2"/>
    <x v="53"/>
  </r>
  <r>
    <x v="0"/>
    <x v="54"/>
    <x v="54"/>
    <x v="54"/>
    <x v="54"/>
    <x v="54"/>
    <x v="54"/>
    <x v="53"/>
    <x v="54"/>
    <x v="15"/>
    <x v="1"/>
    <x v="4"/>
    <x v="54"/>
  </r>
  <r>
    <x v="0"/>
    <x v="55"/>
    <x v="55"/>
    <x v="55"/>
    <x v="55"/>
    <x v="55"/>
    <x v="55"/>
    <x v="54"/>
    <x v="55"/>
    <x v="4"/>
    <x v="0"/>
    <x v="1"/>
    <x v="55"/>
  </r>
  <r>
    <x v="0"/>
    <x v="56"/>
    <x v="56"/>
    <x v="56"/>
    <x v="56"/>
    <x v="56"/>
    <x v="56"/>
    <x v="55"/>
    <x v="56"/>
    <x v="20"/>
    <x v="0"/>
    <x v="1"/>
    <x v="56"/>
  </r>
  <r>
    <x v="0"/>
    <x v="57"/>
    <x v="57"/>
    <x v="57"/>
    <x v="57"/>
    <x v="57"/>
    <x v="57"/>
    <x v="56"/>
    <x v="57"/>
    <x v="0"/>
    <x v="0"/>
    <x v="1"/>
    <x v="57"/>
  </r>
  <r>
    <x v="0"/>
    <x v="58"/>
    <x v="58"/>
    <x v="58"/>
    <x v="58"/>
    <x v="58"/>
    <x v="58"/>
    <x v="57"/>
    <x v="58"/>
    <x v="1"/>
    <x v="0"/>
    <x v="3"/>
    <x v="58"/>
  </r>
  <r>
    <x v="0"/>
    <x v="59"/>
    <x v="59"/>
    <x v="59"/>
    <x v="59"/>
    <x v="59"/>
    <x v="59"/>
    <x v="58"/>
    <x v="59"/>
    <x v="14"/>
    <x v="0"/>
    <x v="0"/>
    <x v="59"/>
  </r>
  <r>
    <x v="0"/>
    <x v="60"/>
    <x v="60"/>
    <x v="60"/>
    <x v="60"/>
    <x v="60"/>
    <x v="60"/>
    <x v="59"/>
    <x v="60"/>
    <x v="0"/>
    <x v="0"/>
    <x v="1"/>
    <x v="60"/>
  </r>
  <r>
    <x v="0"/>
    <x v="61"/>
    <x v="61"/>
    <x v="61"/>
    <x v="61"/>
    <x v="61"/>
    <x v="61"/>
    <x v="60"/>
    <x v="61"/>
    <x v="13"/>
    <x v="1"/>
    <x v="1"/>
    <x v="61"/>
  </r>
  <r>
    <x v="0"/>
    <x v="62"/>
    <x v="62"/>
    <x v="62"/>
    <x v="62"/>
    <x v="62"/>
    <x v="62"/>
    <x v="61"/>
    <x v="62"/>
    <x v="4"/>
    <x v="0"/>
    <x v="1"/>
    <x v="62"/>
  </r>
  <r>
    <x v="0"/>
    <x v="63"/>
    <x v="63"/>
    <x v="63"/>
    <x v="63"/>
    <x v="63"/>
    <x v="63"/>
    <x v="62"/>
    <x v="63"/>
    <x v="21"/>
    <x v="1"/>
    <x v="3"/>
    <x v="63"/>
  </r>
  <r>
    <x v="0"/>
    <x v="64"/>
    <x v="64"/>
    <x v="64"/>
    <x v="64"/>
    <x v="64"/>
    <x v="64"/>
    <x v="63"/>
    <x v="64"/>
    <x v="22"/>
    <x v="1"/>
    <x v="0"/>
    <x v="64"/>
  </r>
  <r>
    <x v="0"/>
    <x v="65"/>
    <x v="65"/>
    <x v="65"/>
    <x v="38"/>
    <x v="65"/>
    <x v="65"/>
    <x v="64"/>
    <x v="65"/>
    <x v="5"/>
    <x v="1"/>
    <x v="1"/>
    <x v="65"/>
  </r>
  <r>
    <x v="0"/>
    <x v="66"/>
    <x v="66"/>
    <x v="66"/>
    <x v="65"/>
    <x v="66"/>
    <x v="66"/>
    <x v="65"/>
    <x v="66"/>
    <x v="12"/>
    <x v="0"/>
    <x v="1"/>
    <x v="66"/>
  </r>
  <r>
    <x v="0"/>
    <x v="67"/>
    <x v="67"/>
    <x v="67"/>
    <x v="66"/>
    <x v="67"/>
    <x v="67"/>
    <x v="66"/>
    <x v="67"/>
    <x v="14"/>
    <x v="0"/>
    <x v="2"/>
    <x v="67"/>
  </r>
  <r>
    <x v="0"/>
    <x v="68"/>
    <x v="38"/>
    <x v="68"/>
    <x v="67"/>
    <x v="68"/>
    <x v="68"/>
    <x v="67"/>
    <x v="68"/>
    <x v="4"/>
    <x v="0"/>
    <x v="1"/>
    <x v="68"/>
  </r>
  <r>
    <x v="0"/>
    <x v="69"/>
    <x v="68"/>
    <x v="69"/>
    <x v="68"/>
    <x v="69"/>
    <x v="69"/>
    <x v="68"/>
    <x v="69"/>
    <x v="16"/>
    <x v="1"/>
    <x v="1"/>
    <x v="69"/>
  </r>
  <r>
    <x v="0"/>
    <x v="70"/>
    <x v="69"/>
    <x v="70"/>
    <x v="38"/>
    <x v="70"/>
    <x v="70"/>
    <x v="37"/>
    <x v="70"/>
    <x v="23"/>
    <x v="1"/>
    <x v="1"/>
    <x v="70"/>
  </r>
  <r>
    <x v="0"/>
    <x v="71"/>
    <x v="70"/>
    <x v="71"/>
    <x v="38"/>
    <x v="71"/>
    <x v="71"/>
    <x v="37"/>
    <x v="71"/>
    <x v="5"/>
    <x v="1"/>
    <x v="3"/>
    <x v="71"/>
  </r>
  <r>
    <x v="0"/>
    <x v="72"/>
    <x v="71"/>
    <x v="72"/>
    <x v="69"/>
    <x v="72"/>
    <x v="72"/>
    <x v="69"/>
    <x v="72"/>
    <x v="15"/>
    <x v="1"/>
    <x v="2"/>
    <x v="72"/>
  </r>
  <r>
    <x v="0"/>
    <x v="73"/>
    <x v="72"/>
    <x v="73"/>
    <x v="38"/>
    <x v="38"/>
    <x v="73"/>
    <x v="37"/>
    <x v="73"/>
    <x v="0"/>
    <x v="0"/>
    <x v="0"/>
    <x v="73"/>
  </r>
  <r>
    <x v="0"/>
    <x v="74"/>
    <x v="73"/>
    <x v="74"/>
    <x v="70"/>
    <x v="73"/>
    <x v="74"/>
    <x v="70"/>
    <x v="74"/>
    <x v="1"/>
    <x v="0"/>
    <x v="2"/>
    <x v="74"/>
  </r>
  <r>
    <x v="0"/>
    <x v="75"/>
    <x v="74"/>
    <x v="75"/>
    <x v="71"/>
    <x v="74"/>
    <x v="75"/>
    <x v="71"/>
    <x v="75"/>
    <x v="21"/>
    <x v="1"/>
    <x v="4"/>
    <x v="75"/>
  </r>
  <r>
    <x v="0"/>
    <x v="76"/>
    <x v="75"/>
    <x v="76"/>
    <x v="72"/>
    <x v="75"/>
    <x v="76"/>
    <x v="72"/>
    <x v="76"/>
    <x v="9"/>
    <x v="1"/>
    <x v="2"/>
    <x v="76"/>
  </r>
  <r>
    <x v="0"/>
    <x v="77"/>
    <x v="76"/>
    <x v="77"/>
    <x v="73"/>
    <x v="76"/>
    <x v="77"/>
    <x v="73"/>
    <x v="77"/>
    <x v="18"/>
    <x v="1"/>
    <x v="1"/>
    <x v="77"/>
  </r>
  <r>
    <x v="0"/>
    <x v="78"/>
    <x v="77"/>
    <x v="78"/>
    <x v="74"/>
    <x v="77"/>
    <x v="78"/>
    <x v="74"/>
    <x v="78"/>
    <x v="24"/>
    <x v="1"/>
    <x v="4"/>
    <x v="78"/>
  </r>
  <r>
    <x v="0"/>
    <x v="79"/>
    <x v="78"/>
    <x v="79"/>
    <x v="75"/>
    <x v="78"/>
    <x v="79"/>
    <x v="75"/>
    <x v="79"/>
    <x v="23"/>
    <x v="1"/>
    <x v="2"/>
    <x v="79"/>
  </r>
  <r>
    <x v="0"/>
    <x v="80"/>
    <x v="79"/>
    <x v="80"/>
    <x v="76"/>
    <x v="79"/>
    <x v="80"/>
    <x v="76"/>
    <x v="80"/>
    <x v="14"/>
    <x v="0"/>
    <x v="1"/>
    <x v="80"/>
  </r>
  <r>
    <x v="0"/>
    <x v="81"/>
    <x v="80"/>
    <x v="81"/>
    <x v="77"/>
    <x v="80"/>
    <x v="81"/>
    <x v="77"/>
    <x v="81"/>
    <x v="25"/>
    <x v="1"/>
    <x v="3"/>
    <x v="81"/>
  </r>
  <r>
    <x v="0"/>
    <x v="82"/>
    <x v="81"/>
    <x v="82"/>
    <x v="78"/>
    <x v="81"/>
    <x v="82"/>
    <x v="78"/>
    <x v="82"/>
    <x v="6"/>
    <x v="1"/>
    <x v="1"/>
    <x v="82"/>
  </r>
  <r>
    <x v="0"/>
    <x v="83"/>
    <x v="82"/>
    <x v="83"/>
    <x v="79"/>
    <x v="82"/>
    <x v="83"/>
    <x v="79"/>
    <x v="83"/>
    <x v="17"/>
    <x v="1"/>
    <x v="3"/>
    <x v="83"/>
  </r>
  <r>
    <x v="0"/>
    <x v="84"/>
    <x v="83"/>
    <x v="84"/>
    <x v="80"/>
    <x v="83"/>
    <x v="84"/>
    <x v="80"/>
    <x v="84"/>
    <x v="6"/>
    <x v="1"/>
    <x v="4"/>
    <x v="84"/>
  </r>
  <r>
    <x v="0"/>
    <x v="85"/>
    <x v="84"/>
    <x v="85"/>
    <x v="81"/>
    <x v="84"/>
    <x v="85"/>
    <x v="81"/>
    <x v="85"/>
    <x v="3"/>
    <x v="1"/>
    <x v="4"/>
    <x v="85"/>
  </r>
  <r>
    <x v="0"/>
    <x v="86"/>
    <x v="85"/>
    <x v="86"/>
    <x v="82"/>
    <x v="85"/>
    <x v="86"/>
    <x v="82"/>
    <x v="86"/>
    <x v="23"/>
    <x v="1"/>
    <x v="2"/>
    <x v="86"/>
  </r>
  <r>
    <x v="0"/>
    <x v="87"/>
    <x v="86"/>
    <x v="87"/>
    <x v="83"/>
    <x v="86"/>
    <x v="87"/>
    <x v="83"/>
    <x v="87"/>
    <x v="14"/>
    <x v="0"/>
    <x v="2"/>
    <x v="87"/>
  </r>
  <r>
    <x v="0"/>
    <x v="88"/>
    <x v="87"/>
    <x v="88"/>
    <x v="84"/>
    <x v="87"/>
    <x v="88"/>
    <x v="84"/>
    <x v="88"/>
    <x v="15"/>
    <x v="1"/>
    <x v="4"/>
    <x v="88"/>
  </r>
  <r>
    <x v="0"/>
    <x v="89"/>
    <x v="88"/>
    <x v="89"/>
    <x v="85"/>
    <x v="88"/>
    <x v="89"/>
    <x v="85"/>
    <x v="89"/>
    <x v="7"/>
    <x v="0"/>
    <x v="3"/>
    <x v="89"/>
  </r>
  <r>
    <x v="0"/>
    <x v="90"/>
    <x v="89"/>
    <x v="90"/>
    <x v="86"/>
    <x v="89"/>
    <x v="90"/>
    <x v="86"/>
    <x v="90"/>
    <x v="7"/>
    <x v="0"/>
    <x v="3"/>
    <x v="90"/>
  </r>
  <r>
    <x v="0"/>
    <x v="91"/>
    <x v="90"/>
    <x v="91"/>
    <x v="87"/>
    <x v="90"/>
    <x v="91"/>
    <x v="87"/>
    <x v="91"/>
    <x v="0"/>
    <x v="0"/>
    <x v="2"/>
    <x v="91"/>
  </r>
  <r>
    <x v="0"/>
    <x v="92"/>
    <x v="91"/>
    <x v="92"/>
    <x v="88"/>
    <x v="91"/>
    <x v="92"/>
    <x v="88"/>
    <x v="92"/>
    <x v="15"/>
    <x v="1"/>
    <x v="4"/>
    <x v="92"/>
  </r>
  <r>
    <x v="0"/>
    <x v="93"/>
    <x v="92"/>
    <x v="93"/>
    <x v="89"/>
    <x v="92"/>
    <x v="93"/>
    <x v="89"/>
    <x v="93"/>
    <x v="17"/>
    <x v="1"/>
    <x v="1"/>
    <x v="93"/>
  </r>
  <r>
    <x v="0"/>
    <x v="94"/>
    <x v="93"/>
    <x v="94"/>
    <x v="90"/>
    <x v="93"/>
    <x v="94"/>
    <x v="90"/>
    <x v="94"/>
    <x v="25"/>
    <x v="1"/>
    <x v="4"/>
    <x v="94"/>
  </r>
  <r>
    <x v="0"/>
    <x v="95"/>
    <x v="94"/>
    <x v="95"/>
    <x v="38"/>
    <x v="94"/>
    <x v="95"/>
    <x v="37"/>
    <x v="95"/>
    <x v="19"/>
    <x v="0"/>
    <x v="0"/>
    <x v="95"/>
  </r>
  <r>
    <x v="0"/>
    <x v="96"/>
    <x v="95"/>
    <x v="96"/>
    <x v="91"/>
    <x v="95"/>
    <x v="96"/>
    <x v="91"/>
    <x v="96"/>
    <x v="4"/>
    <x v="0"/>
    <x v="1"/>
    <x v="96"/>
  </r>
  <r>
    <x v="0"/>
    <x v="97"/>
    <x v="96"/>
    <x v="97"/>
    <x v="92"/>
    <x v="96"/>
    <x v="97"/>
    <x v="92"/>
    <x v="97"/>
    <x v="0"/>
    <x v="0"/>
    <x v="4"/>
    <x v="97"/>
  </r>
  <r>
    <x v="0"/>
    <x v="98"/>
    <x v="97"/>
    <x v="98"/>
    <x v="93"/>
    <x v="97"/>
    <x v="98"/>
    <x v="93"/>
    <x v="98"/>
    <x v="21"/>
    <x v="1"/>
    <x v="2"/>
    <x v="98"/>
  </r>
  <r>
    <x v="0"/>
    <x v="99"/>
    <x v="98"/>
    <x v="99"/>
    <x v="94"/>
    <x v="98"/>
    <x v="99"/>
    <x v="94"/>
    <x v="99"/>
    <x v="15"/>
    <x v="1"/>
    <x v="4"/>
    <x v="99"/>
  </r>
  <r>
    <x v="0"/>
    <x v="100"/>
    <x v="99"/>
    <x v="100"/>
    <x v="95"/>
    <x v="99"/>
    <x v="100"/>
    <x v="95"/>
    <x v="100"/>
    <x v="14"/>
    <x v="0"/>
    <x v="4"/>
    <x v="100"/>
  </r>
  <r>
    <x v="0"/>
    <x v="101"/>
    <x v="100"/>
    <x v="101"/>
    <x v="96"/>
    <x v="100"/>
    <x v="101"/>
    <x v="96"/>
    <x v="101"/>
    <x v="26"/>
    <x v="1"/>
    <x v="1"/>
    <x v="101"/>
  </r>
  <r>
    <x v="0"/>
    <x v="102"/>
    <x v="101"/>
    <x v="102"/>
    <x v="97"/>
    <x v="101"/>
    <x v="102"/>
    <x v="97"/>
    <x v="102"/>
    <x v="13"/>
    <x v="0"/>
    <x v="4"/>
    <x v="102"/>
  </r>
  <r>
    <x v="0"/>
    <x v="103"/>
    <x v="102"/>
    <x v="103"/>
    <x v="98"/>
    <x v="102"/>
    <x v="103"/>
    <x v="98"/>
    <x v="103"/>
    <x v="2"/>
    <x v="1"/>
    <x v="1"/>
    <x v="103"/>
  </r>
  <r>
    <x v="0"/>
    <x v="104"/>
    <x v="103"/>
    <x v="104"/>
    <x v="99"/>
    <x v="103"/>
    <x v="104"/>
    <x v="99"/>
    <x v="104"/>
    <x v="20"/>
    <x v="0"/>
    <x v="1"/>
    <x v="104"/>
  </r>
  <r>
    <x v="0"/>
    <x v="105"/>
    <x v="104"/>
    <x v="105"/>
    <x v="100"/>
    <x v="104"/>
    <x v="105"/>
    <x v="100"/>
    <x v="105"/>
    <x v="14"/>
    <x v="0"/>
    <x v="1"/>
    <x v="105"/>
  </r>
  <r>
    <x v="0"/>
    <x v="106"/>
    <x v="105"/>
    <x v="106"/>
    <x v="101"/>
    <x v="105"/>
    <x v="106"/>
    <x v="101"/>
    <x v="106"/>
    <x v="1"/>
    <x v="0"/>
    <x v="1"/>
    <x v="106"/>
  </r>
  <r>
    <x v="0"/>
    <x v="107"/>
    <x v="20"/>
    <x v="107"/>
    <x v="102"/>
    <x v="106"/>
    <x v="107"/>
    <x v="102"/>
    <x v="107"/>
    <x v="19"/>
    <x v="0"/>
    <x v="1"/>
    <x v="107"/>
  </r>
  <r>
    <x v="0"/>
    <x v="108"/>
    <x v="106"/>
    <x v="108"/>
    <x v="103"/>
    <x v="107"/>
    <x v="108"/>
    <x v="103"/>
    <x v="108"/>
    <x v="25"/>
    <x v="1"/>
    <x v="1"/>
    <x v="108"/>
  </r>
  <r>
    <x v="0"/>
    <x v="109"/>
    <x v="107"/>
    <x v="109"/>
    <x v="104"/>
    <x v="108"/>
    <x v="109"/>
    <x v="104"/>
    <x v="109"/>
    <x v="15"/>
    <x v="1"/>
    <x v="1"/>
    <x v="109"/>
  </r>
  <r>
    <x v="0"/>
    <x v="110"/>
    <x v="108"/>
    <x v="110"/>
    <x v="105"/>
    <x v="109"/>
    <x v="110"/>
    <x v="105"/>
    <x v="110"/>
    <x v="8"/>
    <x v="1"/>
    <x v="2"/>
    <x v="110"/>
  </r>
  <r>
    <x v="0"/>
    <x v="111"/>
    <x v="109"/>
    <x v="111"/>
    <x v="106"/>
    <x v="110"/>
    <x v="111"/>
    <x v="106"/>
    <x v="111"/>
    <x v="5"/>
    <x v="1"/>
    <x v="2"/>
    <x v="111"/>
  </r>
  <r>
    <x v="0"/>
    <x v="112"/>
    <x v="110"/>
    <x v="112"/>
    <x v="107"/>
    <x v="111"/>
    <x v="112"/>
    <x v="107"/>
    <x v="112"/>
    <x v="12"/>
    <x v="0"/>
    <x v="4"/>
    <x v="112"/>
  </r>
  <r>
    <x v="0"/>
    <x v="113"/>
    <x v="111"/>
    <x v="113"/>
    <x v="108"/>
    <x v="112"/>
    <x v="77"/>
    <x v="108"/>
    <x v="113"/>
    <x v="27"/>
    <x v="1"/>
    <x v="2"/>
    <x v="113"/>
  </r>
  <r>
    <x v="0"/>
    <x v="114"/>
    <x v="112"/>
    <x v="114"/>
    <x v="109"/>
    <x v="113"/>
    <x v="113"/>
    <x v="109"/>
    <x v="114"/>
    <x v="14"/>
    <x v="0"/>
    <x v="2"/>
    <x v="114"/>
  </r>
  <r>
    <x v="0"/>
    <x v="115"/>
    <x v="113"/>
    <x v="115"/>
    <x v="110"/>
    <x v="114"/>
    <x v="114"/>
    <x v="110"/>
    <x v="115"/>
    <x v="1"/>
    <x v="0"/>
    <x v="1"/>
    <x v="115"/>
  </r>
  <r>
    <x v="0"/>
    <x v="116"/>
    <x v="8"/>
    <x v="116"/>
    <x v="38"/>
    <x v="115"/>
    <x v="115"/>
    <x v="37"/>
    <x v="116"/>
    <x v="23"/>
    <x v="1"/>
    <x v="1"/>
    <x v="116"/>
  </r>
  <r>
    <x v="0"/>
    <x v="117"/>
    <x v="114"/>
    <x v="117"/>
    <x v="111"/>
    <x v="116"/>
    <x v="116"/>
    <x v="111"/>
    <x v="117"/>
    <x v="2"/>
    <x v="1"/>
    <x v="4"/>
    <x v="117"/>
  </r>
  <r>
    <x v="0"/>
    <x v="118"/>
    <x v="115"/>
    <x v="118"/>
    <x v="38"/>
    <x v="117"/>
    <x v="117"/>
    <x v="112"/>
    <x v="118"/>
    <x v="5"/>
    <x v="1"/>
    <x v="1"/>
    <x v="118"/>
  </r>
  <r>
    <x v="0"/>
    <x v="119"/>
    <x v="116"/>
    <x v="119"/>
    <x v="112"/>
    <x v="118"/>
    <x v="118"/>
    <x v="113"/>
    <x v="119"/>
    <x v="5"/>
    <x v="1"/>
    <x v="2"/>
    <x v="119"/>
  </r>
  <r>
    <x v="0"/>
    <x v="120"/>
    <x v="117"/>
    <x v="120"/>
    <x v="113"/>
    <x v="119"/>
    <x v="119"/>
    <x v="114"/>
    <x v="120"/>
    <x v="14"/>
    <x v="0"/>
    <x v="1"/>
    <x v="120"/>
  </r>
  <r>
    <x v="0"/>
    <x v="121"/>
    <x v="118"/>
    <x v="121"/>
    <x v="114"/>
    <x v="120"/>
    <x v="120"/>
    <x v="115"/>
    <x v="121"/>
    <x v="4"/>
    <x v="0"/>
    <x v="1"/>
    <x v="121"/>
  </r>
  <r>
    <x v="0"/>
    <x v="122"/>
    <x v="119"/>
    <x v="122"/>
    <x v="115"/>
    <x v="121"/>
    <x v="121"/>
    <x v="116"/>
    <x v="122"/>
    <x v="14"/>
    <x v="0"/>
    <x v="2"/>
    <x v="122"/>
  </r>
  <r>
    <x v="0"/>
    <x v="123"/>
    <x v="120"/>
    <x v="123"/>
    <x v="116"/>
    <x v="122"/>
    <x v="122"/>
    <x v="117"/>
    <x v="123"/>
    <x v="5"/>
    <x v="1"/>
    <x v="4"/>
    <x v="123"/>
  </r>
  <r>
    <x v="0"/>
    <x v="124"/>
    <x v="121"/>
    <x v="124"/>
    <x v="117"/>
    <x v="123"/>
    <x v="123"/>
    <x v="118"/>
    <x v="124"/>
    <x v="7"/>
    <x v="0"/>
    <x v="2"/>
    <x v="124"/>
  </r>
  <r>
    <x v="0"/>
    <x v="125"/>
    <x v="122"/>
    <x v="125"/>
    <x v="118"/>
    <x v="124"/>
    <x v="124"/>
    <x v="119"/>
    <x v="125"/>
    <x v="2"/>
    <x v="1"/>
    <x v="2"/>
    <x v="125"/>
  </r>
  <r>
    <x v="0"/>
    <x v="126"/>
    <x v="123"/>
    <x v="126"/>
    <x v="119"/>
    <x v="125"/>
    <x v="125"/>
    <x v="120"/>
    <x v="126"/>
    <x v="6"/>
    <x v="1"/>
    <x v="1"/>
    <x v="126"/>
  </r>
  <r>
    <x v="0"/>
    <x v="127"/>
    <x v="124"/>
    <x v="127"/>
    <x v="120"/>
    <x v="126"/>
    <x v="126"/>
    <x v="121"/>
    <x v="127"/>
    <x v="5"/>
    <x v="1"/>
    <x v="1"/>
    <x v="127"/>
  </r>
  <r>
    <x v="0"/>
    <x v="128"/>
    <x v="125"/>
    <x v="128"/>
    <x v="121"/>
    <x v="127"/>
    <x v="127"/>
    <x v="122"/>
    <x v="128"/>
    <x v="12"/>
    <x v="0"/>
    <x v="2"/>
    <x v="128"/>
  </r>
  <r>
    <x v="0"/>
    <x v="129"/>
    <x v="126"/>
    <x v="129"/>
    <x v="122"/>
    <x v="128"/>
    <x v="128"/>
    <x v="123"/>
    <x v="129"/>
    <x v="18"/>
    <x v="1"/>
    <x v="4"/>
    <x v="129"/>
  </r>
  <r>
    <x v="0"/>
    <x v="130"/>
    <x v="127"/>
    <x v="130"/>
    <x v="123"/>
    <x v="129"/>
    <x v="129"/>
    <x v="124"/>
    <x v="130"/>
    <x v="5"/>
    <x v="1"/>
    <x v="2"/>
    <x v="130"/>
  </r>
  <r>
    <x v="0"/>
    <x v="131"/>
    <x v="128"/>
    <x v="131"/>
    <x v="124"/>
    <x v="130"/>
    <x v="130"/>
    <x v="125"/>
    <x v="131"/>
    <x v="12"/>
    <x v="0"/>
    <x v="2"/>
    <x v="131"/>
  </r>
  <r>
    <x v="0"/>
    <x v="132"/>
    <x v="129"/>
    <x v="132"/>
    <x v="125"/>
    <x v="131"/>
    <x v="131"/>
    <x v="126"/>
    <x v="132"/>
    <x v="11"/>
    <x v="1"/>
    <x v="1"/>
    <x v="132"/>
  </r>
  <r>
    <x v="0"/>
    <x v="133"/>
    <x v="105"/>
    <x v="133"/>
    <x v="126"/>
    <x v="132"/>
    <x v="132"/>
    <x v="127"/>
    <x v="133"/>
    <x v="11"/>
    <x v="1"/>
    <x v="1"/>
    <x v="133"/>
  </r>
  <r>
    <x v="0"/>
    <x v="134"/>
    <x v="130"/>
    <x v="134"/>
    <x v="127"/>
    <x v="133"/>
    <x v="133"/>
    <x v="128"/>
    <x v="134"/>
    <x v="21"/>
    <x v="1"/>
    <x v="0"/>
    <x v="134"/>
  </r>
  <r>
    <x v="0"/>
    <x v="135"/>
    <x v="131"/>
    <x v="135"/>
    <x v="128"/>
    <x v="134"/>
    <x v="134"/>
    <x v="129"/>
    <x v="135"/>
    <x v="5"/>
    <x v="1"/>
    <x v="2"/>
    <x v="135"/>
  </r>
  <r>
    <x v="0"/>
    <x v="136"/>
    <x v="132"/>
    <x v="136"/>
    <x v="129"/>
    <x v="135"/>
    <x v="135"/>
    <x v="130"/>
    <x v="136"/>
    <x v="1"/>
    <x v="0"/>
    <x v="2"/>
    <x v="136"/>
  </r>
  <r>
    <x v="0"/>
    <x v="137"/>
    <x v="133"/>
    <x v="137"/>
    <x v="130"/>
    <x v="136"/>
    <x v="136"/>
    <x v="131"/>
    <x v="137"/>
    <x v="11"/>
    <x v="1"/>
    <x v="1"/>
    <x v="137"/>
  </r>
  <r>
    <x v="0"/>
    <x v="138"/>
    <x v="134"/>
    <x v="138"/>
    <x v="131"/>
    <x v="137"/>
    <x v="137"/>
    <x v="132"/>
    <x v="138"/>
    <x v="4"/>
    <x v="0"/>
    <x v="1"/>
    <x v="138"/>
  </r>
  <r>
    <x v="0"/>
    <x v="139"/>
    <x v="135"/>
    <x v="139"/>
    <x v="132"/>
    <x v="138"/>
    <x v="138"/>
    <x v="133"/>
    <x v="139"/>
    <x v="15"/>
    <x v="1"/>
    <x v="4"/>
    <x v="139"/>
  </r>
  <r>
    <x v="0"/>
    <x v="140"/>
    <x v="136"/>
    <x v="140"/>
    <x v="133"/>
    <x v="139"/>
    <x v="139"/>
    <x v="134"/>
    <x v="140"/>
    <x v="2"/>
    <x v="1"/>
    <x v="4"/>
    <x v="140"/>
  </r>
  <r>
    <x v="0"/>
    <x v="141"/>
    <x v="137"/>
    <x v="141"/>
    <x v="134"/>
    <x v="140"/>
    <x v="140"/>
    <x v="135"/>
    <x v="141"/>
    <x v="13"/>
    <x v="1"/>
    <x v="4"/>
    <x v="141"/>
  </r>
  <r>
    <x v="0"/>
    <x v="142"/>
    <x v="138"/>
    <x v="142"/>
    <x v="135"/>
    <x v="141"/>
    <x v="141"/>
    <x v="136"/>
    <x v="142"/>
    <x v="0"/>
    <x v="0"/>
    <x v="4"/>
    <x v="142"/>
  </r>
  <r>
    <x v="0"/>
    <x v="143"/>
    <x v="139"/>
    <x v="143"/>
    <x v="136"/>
    <x v="142"/>
    <x v="142"/>
    <x v="137"/>
    <x v="143"/>
    <x v="15"/>
    <x v="1"/>
    <x v="1"/>
    <x v="143"/>
  </r>
  <r>
    <x v="0"/>
    <x v="144"/>
    <x v="140"/>
    <x v="144"/>
    <x v="137"/>
    <x v="143"/>
    <x v="143"/>
    <x v="138"/>
    <x v="144"/>
    <x v="17"/>
    <x v="1"/>
    <x v="0"/>
    <x v="144"/>
  </r>
  <r>
    <x v="0"/>
    <x v="145"/>
    <x v="141"/>
    <x v="145"/>
    <x v="138"/>
    <x v="144"/>
    <x v="144"/>
    <x v="139"/>
    <x v="145"/>
    <x v="21"/>
    <x v="1"/>
    <x v="2"/>
    <x v="145"/>
  </r>
  <r>
    <x v="0"/>
    <x v="146"/>
    <x v="142"/>
    <x v="146"/>
    <x v="139"/>
    <x v="145"/>
    <x v="145"/>
    <x v="140"/>
    <x v="146"/>
    <x v="15"/>
    <x v="1"/>
    <x v="1"/>
    <x v="146"/>
  </r>
  <r>
    <x v="0"/>
    <x v="147"/>
    <x v="143"/>
    <x v="147"/>
    <x v="140"/>
    <x v="146"/>
    <x v="146"/>
    <x v="141"/>
    <x v="147"/>
    <x v="11"/>
    <x v="1"/>
    <x v="2"/>
    <x v="147"/>
  </r>
  <r>
    <x v="0"/>
    <x v="148"/>
    <x v="144"/>
    <x v="148"/>
    <x v="141"/>
    <x v="147"/>
    <x v="147"/>
    <x v="142"/>
    <x v="148"/>
    <x v="7"/>
    <x v="0"/>
    <x v="3"/>
    <x v="148"/>
  </r>
  <r>
    <x v="0"/>
    <x v="149"/>
    <x v="145"/>
    <x v="149"/>
    <x v="142"/>
    <x v="148"/>
    <x v="148"/>
    <x v="143"/>
    <x v="149"/>
    <x v="0"/>
    <x v="0"/>
    <x v="3"/>
    <x v="149"/>
  </r>
  <r>
    <x v="0"/>
    <x v="150"/>
    <x v="146"/>
    <x v="150"/>
    <x v="143"/>
    <x v="149"/>
    <x v="77"/>
    <x v="144"/>
    <x v="150"/>
    <x v="0"/>
    <x v="0"/>
    <x v="2"/>
    <x v="150"/>
  </r>
  <r>
    <x v="0"/>
    <x v="151"/>
    <x v="147"/>
    <x v="151"/>
    <x v="144"/>
    <x v="150"/>
    <x v="149"/>
    <x v="145"/>
    <x v="151"/>
    <x v="12"/>
    <x v="0"/>
    <x v="2"/>
    <x v="151"/>
  </r>
  <r>
    <x v="0"/>
    <x v="152"/>
    <x v="148"/>
    <x v="152"/>
    <x v="145"/>
    <x v="151"/>
    <x v="150"/>
    <x v="146"/>
    <x v="152"/>
    <x v="2"/>
    <x v="1"/>
    <x v="4"/>
    <x v="152"/>
  </r>
  <r>
    <x v="0"/>
    <x v="153"/>
    <x v="149"/>
    <x v="153"/>
    <x v="146"/>
    <x v="152"/>
    <x v="151"/>
    <x v="147"/>
    <x v="153"/>
    <x v="6"/>
    <x v="1"/>
    <x v="4"/>
    <x v="153"/>
  </r>
  <r>
    <x v="0"/>
    <x v="154"/>
    <x v="150"/>
    <x v="154"/>
    <x v="147"/>
    <x v="153"/>
    <x v="152"/>
    <x v="148"/>
    <x v="154"/>
    <x v="10"/>
    <x v="1"/>
    <x v="4"/>
    <x v="154"/>
  </r>
  <r>
    <x v="0"/>
    <x v="155"/>
    <x v="151"/>
    <x v="155"/>
    <x v="148"/>
    <x v="154"/>
    <x v="153"/>
    <x v="149"/>
    <x v="155"/>
    <x v="4"/>
    <x v="0"/>
    <x v="1"/>
    <x v="155"/>
  </r>
  <r>
    <x v="0"/>
    <x v="156"/>
    <x v="152"/>
    <x v="156"/>
    <x v="149"/>
    <x v="155"/>
    <x v="154"/>
    <x v="150"/>
    <x v="156"/>
    <x v="23"/>
    <x v="1"/>
    <x v="4"/>
    <x v="156"/>
  </r>
  <r>
    <x v="0"/>
    <x v="157"/>
    <x v="153"/>
    <x v="157"/>
    <x v="150"/>
    <x v="156"/>
    <x v="155"/>
    <x v="151"/>
    <x v="157"/>
    <x v="19"/>
    <x v="0"/>
    <x v="3"/>
    <x v="157"/>
  </r>
  <r>
    <x v="0"/>
    <x v="158"/>
    <x v="154"/>
    <x v="158"/>
    <x v="151"/>
    <x v="157"/>
    <x v="156"/>
    <x v="152"/>
    <x v="158"/>
    <x v="21"/>
    <x v="1"/>
    <x v="0"/>
    <x v="158"/>
  </r>
  <r>
    <x v="0"/>
    <x v="159"/>
    <x v="155"/>
    <x v="159"/>
    <x v="152"/>
    <x v="158"/>
    <x v="157"/>
    <x v="153"/>
    <x v="159"/>
    <x v="14"/>
    <x v="0"/>
    <x v="4"/>
    <x v="159"/>
  </r>
  <r>
    <x v="0"/>
    <x v="160"/>
    <x v="156"/>
    <x v="160"/>
    <x v="153"/>
    <x v="159"/>
    <x v="158"/>
    <x v="154"/>
    <x v="160"/>
    <x v="5"/>
    <x v="1"/>
    <x v="4"/>
    <x v="160"/>
  </r>
  <r>
    <x v="0"/>
    <x v="161"/>
    <x v="157"/>
    <x v="161"/>
    <x v="154"/>
    <x v="160"/>
    <x v="159"/>
    <x v="155"/>
    <x v="161"/>
    <x v="19"/>
    <x v="0"/>
    <x v="2"/>
    <x v="161"/>
  </r>
  <r>
    <x v="0"/>
    <x v="162"/>
    <x v="158"/>
    <x v="162"/>
    <x v="155"/>
    <x v="161"/>
    <x v="160"/>
    <x v="156"/>
    <x v="162"/>
    <x v="2"/>
    <x v="1"/>
    <x v="4"/>
    <x v="162"/>
  </r>
  <r>
    <x v="0"/>
    <x v="163"/>
    <x v="159"/>
    <x v="163"/>
    <x v="156"/>
    <x v="162"/>
    <x v="161"/>
    <x v="157"/>
    <x v="163"/>
    <x v="11"/>
    <x v="1"/>
    <x v="1"/>
    <x v="163"/>
  </r>
  <r>
    <x v="0"/>
    <x v="164"/>
    <x v="160"/>
    <x v="164"/>
    <x v="157"/>
    <x v="163"/>
    <x v="162"/>
    <x v="158"/>
    <x v="164"/>
    <x v="1"/>
    <x v="0"/>
    <x v="2"/>
    <x v="164"/>
  </r>
  <r>
    <x v="0"/>
    <x v="165"/>
    <x v="161"/>
    <x v="165"/>
    <x v="158"/>
    <x v="164"/>
    <x v="163"/>
    <x v="159"/>
    <x v="165"/>
    <x v="1"/>
    <x v="0"/>
    <x v="3"/>
    <x v="165"/>
  </r>
  <r>
    <x v="0"/>
    <x v="166"/>
    <x v="162"/>
    <x v="166"/>
    <x v="159"/>
    <x v="165"/>
    <x v="164"/>
    <x v="160"/>
    <x v="166"/>
    <x v="4"/>
    <x v="0"/>
    <x v="2"/>
    <x v="166"/>
  </r>
  <r>
    <x v="0"/>
    <x v="167"/>
    <x v="163"/>
    <x v="167"/>
    <x v="160"/>
    <x v="166"/>
    <x v="165"/>
    <x v="161"/>
    <x v="167"/>
    <x v="20"/>
    <x v="0"/>
    <x v="2"/>
    <x v="167"/>
  </r>
  <r>
    <x v="0"/>
    <x v="168"/>
    <x v="164"/>
    <x v="168"/>
    <x v="161"/>
    <x v="167"/>
    <x v="131"/>
    <x v="162"/>
    <x v="168"/>
    <x v="16"/>
    <x v="1"/>
    <x v="1"/>
    <x v="168"/>
  </r>
  <r>
    <x v="0"/>
    <x v="169"/>
    <x v="165"/>
    <x v="169"/>
    <x v="162"/>
    <x v="168"/>
    <x v="166"/>
    <x v="163"/>
    <x v="169"/>
    <x v="13"/>
    <x v="1"/>
    <x v="1"/>
    <x v="169"/>
  </r>
  <r>
    <x v="0"/>
    <x v="170"/>
    <x v="166"/>
    <x v="170"/>
    <x v="163"/>
    <x v="169"/>
    <x v="167"/>
    <x v="164"/>
    <x v="170"/>
    <x v="14"/>
    <x v="0"/>
    <x v="4"/>
    <x v="170"/>
  </r>
  <r>
    <x v="0"/>
    <x v="171"/>
    <x v="167"/>
    <x v="171"/>
    <x v="164"/>
    <x v="170"/>
    <x v="168"/>
    <x v="165"/>
    <x v="171"/>
    <x v="23"/>
    <x v="1"/>
    <x v="2"/>
    <x v="171"/>
  </r>
  <r>
    <x v="0"/>
    <x v="172"/>
    <x v="168"/>
    <x v="172"/>
    <x v="165"/>
    <x v="171"/>
    <x v="169"/>
    <x v="166"/>
    <x v="172"/>
    <x v="13"/>
    <x v="1"/>
    <x v="2"/>
    <x v="172"/>
  </r>
  <r>
    <x v="0"/>
    <x v="173"/>
    <x v="169"/>
    <x v="173"/>
    <x v="166"/>
    <x v="172"/>
    <x v="170"/>
    <x v="167"/>
    <x v="173"/>
    <x v="16"/>
    <x v="1"/>
    <x v="2"/>
    <x v="173"/>
  </r>
  <r>
    <x v="0"/>
    <x v="174"/>
    <x v="170"/>
    <x v="174"/>
    <x v="167"/>
    <x v="173"/>
    <x v="171"/>
    <x v="168"/>
    <x v="174"/>
    <x v="14"/>
    <x v="0"/>
    <x v="1"/>
    <x v="174"/>
  </r>
  <r>
    <x v="0"/>
    <x v="175"/>
    <x v="171"/>
    <x v="175"/>
    <x v="168"/>
    <x v="174"/>
    <x v="172"/>
    <x v="169"/>
    <x v="175"/>
    <x v="12"/>
    <x v="0"/>
    <x v="1"/>
    <x v="175"/>
  </r>
  <r>
    <x v="0"/>
    <x v="176"/>
    <x v="172"/>
    <x v="176"/>
    <x v="169"/>
    <x v="175"/>
    <x v="173"/>
    <x v="170"/>
    <x v="176"/>
    <x v="12"/>
    <x v="0"/>
    <x v="3"/>
    <x v="176"/>
  </r>
  <r>
    <x v="0"/>
    <x v="177"/>
    <x v="173"/>
    <x v="177"/>
    <x v="170"/>
    <x v="176"/>
    <x v="174"/>
    <x v="171"/>
    <x v="177"/>
    <x v="15"/>
    <x v="1"/>
    <x v="2"/>
    <x v="177"/>
  </r>
  <r>
    <x v="0"/>
    <x v="178"/>
    <x v="174"/>
    <x v="178"/>
    <x v="171"/>
    <x v="34"/>
    <x v="175"/>
    <x v="8"/>
    <x v="178"/>
    <x v="4"/>
    <x v="0"/>
    <x v="1"/>
    <x v="178"/>
  </r>
  <r>
    <x v="0"/>
    <x v="179"/>
    <x v="175"/>
    <x v="179"/>
    <x v="172"/>
    <x v="177"/>
    <x v="176"/>
    <x v="172"/>
    <x v="179"/>
    <x v="6"/>
    <x v="1"/>
    <x v="2"/>
    <x v="179"/>
  </r>
  <r>
    <x v="0"/>
    <x v="180"/>
    <x v="176"/>
    <x v="180"/>
    <x v="173"/>
    <x v="178"/>
    <x v="177"/>
    <x v="173"/>
    <x v="180"/>
    <x v="14"/>
    <x v="0"/>
    <x v="1"/>
    <x v="180"/>
  </r>
  <r>
    <x v="0"/>
    <x v="181"/>
    <x v="177"/>
    <x v="181"/>
    <x v="174"/>
    <x v="179"/>
    <x v="178"/>
    <x v="174"/>
    <x v="181"/>
    <x v="0"/>
    <x v="0"/>
    <x v="1"/>
    <x v="181"/>
  </r>
  <r>
    <x v="0"/>
    <x v="182"/>
    <x v="178"/>
    <x v="182"/>
    <x v="175"/>
    <x v="180"/>
    <x v="179"/>
    <x v="175"/>
    <x v="182"/>
    <x v="16"/>
    <x v="1"/>
    <x v="1"/>
    <x v="182"/>
  </r>
  <r>
    <x v="0"/>
    <x v="183"/>
    <x v="179"/>
    <x v="183"/>
    <x v="176"/>
    <x v="181"/>
    <x v="180"/>
    <x v="176"/>
    <x v="183"/>
    <x v="18"/>
    <x v="1"/>
    <x v="1"/>
    <x v="183"/>
  </r>
  <r>
    <x v="0"/>
    <x v="184"/>
    <x v="180"/>
    <x v="184"/>
    <x v="177"/>
    <x v="182"/>
    <x v="181"/>
    <x v="177"/>
    <x v="184"/>
    <x v="17"/>
    <x v="1"/>
    <x v="2"/>
    <x v="184"/>
  </r>
  <r>
    <x v="0"/>
    <x v="185"/>
    <x v="181"/>
    <x v="185"/>
    <x v="178"/>
    <x v="183"/>
    <x v="77"/>
    <x v="178"/>
    <x v="185"/>
    <x v="2"/>
    <x v="1"/>
    <x v="2"/>
    <x v="185"/>
  </r>
  <r>
    <x v="0"/>
    <x v="186"/>
    <x v="38"/>
    <x v="186"/>
    <x v="38"/>
    <x v="38"/>
    <x v="182"/>
    <x v="37"/>
    <x v="38"/>
    <x v="2"/>
    <x v="1"/>
    <x v="1"/>
    <x v="186"/>
  </r>
  <r>
    <x v="0"/>
    <x v="187"/>
    <x v="182"/>
    <x v="187"/>
    <x v="179"/>
    <x v="184"/>
    <x v="183"/>
    <x v="179"/>
    <x v="186"/>
    <x v="15"/>
    <x v="1"/>
    <x v="1"/>
    <x v="187"/>
  </r>
  <r>
    <x v="0"/>
    <x v="188"/>
    <x v="183"/>
    <x v="188"/>
    <x v="180"/>
    <x v="185"/>
    <x v="184"/>
    <x v="180"/>
    <x v="187"/>
    <x v="0"/>
    <x v="0"/>
    <x v="2"/>
    <x v="188"/>
  </r>
  <r>
    <x v="0"/>
    <x v="189"/>
    <x v="184"/>
    <x v="189"/>
    <x v="181"/>
    <x v="186"/>
    <x v="185"/>
    <x v="181"/>
    <x v="188"/>
    <x v="7"/>
    <x v="0"/>
    <x v="2"/>
    <x v="189"/>
  </r>
  <r>
    <x v="0"/>
    <x v="190"/>
    <x v="185"/>
    <x v="190"/>
    <x v="182"/>
    <x v="187"/>
    <x v="186"/>
    <x v="182"/>
    <x v="189"/>
    <x v="19"/>
    <x v="0"/>
    <x v="2"/>
    <x v="190"/>
  </r>
  <r>
    <x v="0"/>
    <x v="191"/>
    <x v="186"/>
    <x v="191"/>
    <x v="183"/>
    <x v="188"/>
    <x v="187"/>
    <x v="183"/>
    <x v="190"/>
    <x v="2"/>
    <x v="1"/>
    <x v="2"/>
    <x v="191"/>
  </r>
  <r>
    <x v="0"/>
    <x v="192"/>
    <x v="187"/>
    <x v="192"/>
    <x v="184"/>
    <x v="189"/>
    <x v="188"/>
    <x v="184"/>
    <x v="191"/>
    <x v="2"/>
    <x v="1"/>
    <x v="2"/>
    <x v="192"/>
  </r>
  <r>
    <x v="0"/>
    <x v="193"/>
    <x v="188"/>
    <x v="193"/>
    <x v="185"/>
    <x v="190"/>
    <x v="189"/>
    <x v="185"/>
    <x v="192"/>
    <x v="6"/>
    <x v="1"/>
    <x v="2"/>
    <x v="193"/>
  </r>
  <r>
    <x v="0"/>
    <x v="194"/>
    <x v="189"/>
    <x v="194"/>
    <x v="186"/>
    <x v="191"/>
    <x v="190"/>
    <x v="186"/>
    <x v="193"/>
    <x v="4"/>
    <x v="0"/>
    <x v="1"/>
    <x v="194"/>
  </r>
  <r>
    <x v="0"/>
    <x v="195"/>
    <x v="190"/>
    <x v="195"/>
    <x v="187"/>
    <x v="192"/>
    <x v="191"/>
    <x v="187"/>
    <x v="194"/>
    <x v="0"/>
    <x v="0"/>
    <x v="1"/>
    <x v="195"/>
  </r>
  <r>
    <x v="0"/>
    <x v="196"/>
    <x v="191"/>
    <x v="196"/>
    <x v="188"/>
    <x v="193"/>
    <x v="192"/>
    <x v="188"/>
    <x v="195"/>
    <x v="19"/>
    <x v="0"/>
    <x v="4"/>
    <x v="196"/>
  </r>
  <r>
    <x v="0"/>
    <x v="197"/>
    <x v="192"/>
    <x v="197"/>
    <x v="189"/>
    <x v="194"/>
    <x v="193"/>
    <x v="189"/>
    <x v="196"/>
    <x v="16"/>
    <x v="1"/>
    <x v="1"/>
    <x v="197"/>
  </r>
  <r>
    <x v="0"/>
    <x v="198"/>
    <x v="193"/>
    <x v="198"/>
    <x v="190"/>
    <x v="195"/>
    <x v="194"/>
    <x v="190"/>
    <x v="197"/>
    <x v="14"/>
    <x v="0"/>
    <x v="1"/>
    <x v="198"/>
  </r>
  <r>
    <x v="0"/>
    <x v="199"/>
    <x v="69"/>
    <x v="199"/>
    <x v="191"/>
    <x v="196"/>
    <x v="195"/>
    <x v="191"/>
    <x v="198"/>
    <x v="19"/>
    <x v="0"/>
    <x v="1"/>
    <x v="19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n v="77625"/>
    <n v="-0.26998955724195595"/>
    <x v="0"/>
    <n v="77835.146768137929"/>
    <n v="-210.14676813792903"/>
  </r>
  <r>
    <x v="1"/>
    <x v="1"/>
    <n v="2127.3200000000002"/>
    <n v="-0.35164690734941828"/>
    <x v="0"/>
    <n v="2134.8270533102245"/>
    <n v="-7.5070533102243644"/>
  </r>
  <r>
    <x v="2"/>
    <x v="2"/>
    <n v="0.99902000000000002"/>
    <n v="-1.9520477448468752E-4"/>
    <x v="1"/>
    <n v="0.99902195013854489"/>
    <n v="-1.9501385448705832E-6"/>
  </r>
  <r>
    <x v="3"/>
    <x v="3"/>
    <n v="652.91"/>
    <n v="-0.19746184012934381"/>
    <x v="0"/>
    <n v="654.20179891028749"/>
    <n v="-1.2917989102875254"/>
  </r>
  <r>
    <x v="4"/>
    <x v="4"/>
    <n v="1.37"/>
    <n v="-0.3644693030301106"/>
    <x v="1"/>
    <n v="1.3750114948117242"/>
    <n v="-5.0114948117241376E-3"/>
  </r>
  <r>
    <x v="5"/>
    <x v="5"/>
    <n v="0.99968699999999999"/>
    <n v="-5.64363787272031E-4"/>
    <x v="1"/>
    <n v="0.99969264190325491"/>
    <n v="-5.6419032549159809E-6"/>
  </r>
  <r>
    <x v="6"/>
    <x v="6"/>
    <n v="86.45"/>
    <n v="-0.31254002498921779"/>
    <x v="0"/>
    <n v="86.721037953691379"/>
    <n v="-0.27103795369137629"/>
  </r>
  <r>
    <x v="7"/>
    <x v="7"/>
    <n v="0.36092299999999999"/>
    <n v="0.39567427417631823"/>
    <x v="1"/>
    <n v="0.35950054881282495"/>
    <n v="1.4224511871750445E-3"/>
  </r>
  <r>
    <x v="8"/>
    <x v="8"/>
    <n v="1.0349999999999999"/>
    <m/>
    <x v="1"/>
    <n v="1.0349999999999999"/>
    <n v="0"/>
  </r>
  <r>
    <x v="9"/>
    <x v="9"/>
    <n v="0.10519299999999999"/>
    <n v="-0.46872006955437379"/>
    <x v="1"/>
    <n v="0.1056883826607182"/>
    <n v="-4.9538266071820491E-4"/>
  </r>
  <r>
    <x v="10"/>
    <x v="10"/>
    <n v="58.51"/>
    <n v="-1.3318135406100259E-2"/>
    <x v="0"/>
    <n v="58.517793478972195"/>
    <n v="-7.7934789721965103E-3"/>
  </r>
  <r>
    <x v="11"/>
    <x v="11"/>
    <n v="57.18"/>
    <n v="-0.24685902293482925"/>
    <x v="0"/>
    <n v="57.321503302985306"/>
    <n v="-0.14150330298530633"/>
  </r>
  <r>
    <x v="12"/>
    <x v="12"/>
    <n v="665.49"/>
    <n v="-9.4046672616777696E-2"/>
    <x v="0"/>
    <n v="666.11646036672755"/>
    <n v="-0.62646036672754235"/>
  </r>
  <r>
    <x v="13"/>
    <x v="13"/>
    <n v="0.99964600000000003"/>
    <n v="2.6770289844031442E-3"/>
    <x v="1"/>
    <n v="0.99961923990321422"/>
    <n v="2.6760096785816145E-5"/>
  </r>
  <r>
    <x v="14"/>
    <x v="14"/>
    <n v="10.06"/>
    <n v="-0.23917070692341913"/>
    <x v="0"/>
    <n v="10.084118256922075"/>
    <n v="-2.4118256922074366E-2"/>
  </r>
  <r>
    <x v="15"/>
    <x v="15"/>
    <n v="0.24875900000000001"/>
    <n v="-0.29343451903324225"/>
    <x v="1"/>
    <n v="0.24949109298874231"/>
    <n v="-7.320929887423E-4"/>
  </r>
  <r>
    <x v="16"/>
    <x v="16"/>
    <n v="376.18"/>
    <n v="-0.17884023367537646"/>
    <x v="0"/>
    <n v="376.85396651432916"/>
    <n v="-0.67396651432915178"/>
  </r>
  <r>
    <x v="17"/>
    <x v="17"/>
    <n v="402.63"/>
    <n v="-0.35748960128909968"/>
    <x v="0"/>
    <n v="404.07452440621057"/>
    <n v="-1.4445244062105758"/>
  </r>
  <r>
    <x v="18"/>
    <x v="18"/>
    <n v="9.6199999999999992"/>
    <n v="-0.76263507813969977"/>
    <x v="1"/>
    <n v="9.6939293053325279"/>
    <n v="-7.3929305332528727E-2"/>
  </r>
  <r>
    <x v="19"/>
    <x v="19"/>
    <n v="0.15551100000000001"/>
    <n v="0.90759973187467158"/>
    <x v="1"/>
    <n v="0.1541122773836798"/>
    <n v="1.3987226163202082E-3"/>
  </r>
  <r>
    <x v="20"/>
    <x v="20"/>
    <n v="2.04"/>
    <n v="-0.84319713447796596"/>
    <x v="1"/>
    <n v="2.0573474951251494"/>
    <n v="-1.7347495125149326E-2"/>
  </r>
  <r>
    <x v="21"/>
    <x v="21"/>
    <n v="0.144819"/>
    <n v="-0.58548653793091465"/>
    <x v="1"/>
    <n v="0.14567188930140937"/>
    <n v="-8.5288930140936525E-4"/>
  </r>
  <r>
    <x v="22"/>
    <x v="22"/>
    <n v="0.99992000000000003"/>
    <n v="1.1011117154098476E-3"/>
    <x v="1"/>
    <n v="0.99990898988496901"/>
    <n v="1.1010115031018231E-5"/>
  </r>
  <r>
    <x v="23"/>
    <x v="23"/>
    <n v="0.99930799999999997"/>
    <n v="-2.3653087844086539E-3"/>
    <x v="1"/>
    <n v="0.99933163727900198"/>
    <n v="-2.363727900200896E-5"/>
  </r>
  <r>
    <x v="24"/>
    <x v="24"/>
    <n v="1.1100000000000001"/>
    <n v="-1.5169068696385468"/>
    <x v="1"/>
    <n v="1.1270970120025576"/>
    <n v="-1.7097012002557532E-2"/>
  </r>
  <r>
    <x v="25"/>
    <x v="25"/>
    <n v="0.99981900000000001"/>
    <n v="8.3625673943511487E-4"/>
    <x v="1"/>
    <n v="0.99981063901614964"/>
    <n v="8.3609838503750922E-6"/>
  </r>
  <r>
    <x v="26"/>
    <x v="26"/>
    <n v="54.03"/>
    <n v="-0.62285887553227504"/>
    <x v="0"/>
    <n v="54.368639899117838"/>
    <n v="-0.33863989911783676"/>
  </r>
  <r>
    <x v="27"/>
    <x v="27"/>
    <n v="9.4"/>
    <n v="-0.5270701326194368"/>
    <x v="1"/>
    <n v="9.4498071108715518"/>
    <n v="-4.980711087155143E-2"/>
  </r>
  <r>
    <x v="28"/>
    <x v="28"/>
    <n v="8.8805999999999996E-2"/>
    <n v="-0.18592621031752665"/>
    <x v="1"/>
    <n v="8.8971421191687342E-2"/>
    <n v="-1.6542119168734548E-4"/>
  </r>
  <r>
    <x v="29"/>
    <x v="29"/>
    <n v="2.84"/>
    <n v="-0.53550966207052098"/>
    <x v="1"/>
    <n v="2.855290355735129"/>
    <n v="-1.5290355735129157E-2"/>
  </r>
  <r>
    <x v="30"/>
    <x v="30"/>
    <n v="0.99973599999999996"/>
    <n v="-7.7113846753832978E-3"/>
    <x v="1"/>
    <n v="0.99981309943413221"/>
    <n v="-7.7099434132255062E-5"/>
  </r>
  <r>
    <x v="31"/>
    <x v="31"/>
    <n v="7.5084499999999998E-3"/>
    <n v="-0.4191197650307209"/>
    <x v="1"/>
    <n v="7.5400518475868001E-3"/>
    <n v="-3.160184758680025E-5"/>
  </r>
  <r>
    <x v="32"/>
    <x v="32"/>
    <n v="5.8000000000000004E-6"/>
    <n v="-0.35139883319247217"/>
    <x v="1"/>
    <n v="5.8204530039423702E-6"/>
    <n v="-2.045300394236983E-8"/>
  </r>
  <r>
    <x v="33"/>
    <x v="33"/>
    <n v="6.9209000000000007E-2"/>
    <n v="-0.44028155194728957"/>
    <x v="1"/>
    <n v="6.951506199378335E-2"/>
    <n v="-3.0606199378334364E-4"/>
  </r>
  <r>
    <x v="34"/>
    <x v="34"/>
    <n v="1.1200000000000001"/>
    <m/>
    <x v="1"/>
    <n v="1.1200000000000001"/>
    <n v="0"/>
  </r>
  <r>
    <x v="35"/>
    <x v="35"/>
    <n v="283.02"/>
    <n v="-1.781568348964804"/>
    <x v="0"/>
    <n v="288.15365430141952"/>
    <n v="-5.1336543014195399"/>
  </r>
  <r>
    <x v="36"/>
    <x v="36"/>
    <n v="4522.5200000000004"/>
    <n v="1.202015389017762E-2"/>
    <x v="0"/>
    <n v="4521.9764514716562"/>
    <n v="0.54354852834421763"/>
  </r>
  <r>
    <x v="37"/>
    <x v="37"/>
    <n v="0.99975899999999995"/>
    <n v="4.8599483188784334E-4"/>
    <x v="1"/>
    <n v="0.99975414124654194"/>
    <n v="4.8587534580146752E-6"/>
  </r>
  <r>
    <x v="38"/>
    <x v="38"/>
    <n v="1"/>
    <n v="0"/>
    <x v="1"/>
    <n v="1"/>
    <n v="0"/>
  </r>
  <r>
    <x v="39"/>
    <x v="39"/>
    <n v="3.62"/>
    <n v="-0.99050516050255055"/>
    <x v="1"/>
    <n v="3.6562149982366021"/>
    <n v="-3.6214998236602014E-2"/>
  </r>
  <r>
    <x v="40"/>
    <x v="40"/>
    <n v="1.75"/>
    <n v="-0.11812262464886564"/>
    <x v="1"/>
    <n v="1.7520695905860748"/>
    <n v="-2.0695905860748098E-3"/>
  </r>
  <r>
    <x v="41"/>
    <x v="41"/>
    <n v="0.68358699999999994"/>
    <n v="-0.34267195050204619"/>
    <x v="1"/>
    <n v="0.68593751546346393"/>
    <n v="-2.3505154634639869E-3"/>
  </r>
  <r>
    <x v="42"/>
    <x v="42"/>
    <n v="1.1299999999999999"/>
    <n v="0.42795131373949907"/>
    <x v="1"/>
    <n v="1.1251847570502069"/>
    <n v="4.8152429497929639E-3"/>
  </r>
  <r>
    <x v="43"/>
    <x v="43"/>
    <n v="1.27"/>
    <n v="-0.54818035898782391"/>
    <x v="1"/>
    <n v="1.2770002646349514"/>
    <n v="-7.0002646349514031E-3"/>
  </r>
  <r>
    <x v="44"/>
    <x v="44"/>
    <n v="4524.24"/>
    <n v="3.1792901976748576E-2"/>
    <x v="0"/>
    <n v="4522.8020699712915"/>
    <n v="1.4379300287082515"/>
  </r>
  <r>
    <x v="45"/>
    <x v="45"/>
    <n v="0.40456700000000001"/>
    <n v="-0.85457540649667207"/>
    <x v="1"/>
    <n v="0.40805413024224413"/>
    <n v="-3.4871302422441186E-3"/>
  </r>
  <r>
    <x v="46"/>
    <x v="46"/>
    <n v="6.1742999999999999E-2"/>
    <n v="8.5060875340040809E-2"/>
    <x v="1"/>
    <n v="6.1690525499008671E-2"/>
    <n v="5.2474500991328554E-5"/>
  </r>
  <r>
    <x v="47"/>
    <x v="47"/>
    <n v="0.71816000000000002"/>
    <n v="4.2732958440488078"/>
    <x v="1"/>
    <n v="0.68872858979549323"/>
    <n v="2.9431410204506792E-2"/>
  </r>
  <r>
    <x v="48"/>
    <x v="48"/>
    <n v="2.0099999999999998E-6"/>
    <n v="7.4229103767335616E-2"/>
    <x v="1"/>
    <n v="2.0085091016947265E-6"/>
    <n v="1.4908983052733448E-9"/>
  </r>
  <r>
    <x v="49"/>
    <x v="49"/>
    <n v="0.99793699999999996"/>
    <n v="5.862603634798183E-2"/>
    <x v="1"/>
    <n v="0.99735229188284324"/>
    <n v="5.8470811715671811E-4"/>
  </r>
  <r>
    <x v="50"/>
    <x v="50"/>
    <n v="0.99985500000000005"/>
    <n v="-5.4478521218610477E-3"/>
    <x v="1"/>
    <n v="0.99990947358947369"/>
    <n v="-5.4473589473635897E-5"/>
  </r>
  <r>
    <x v="51"/>
    <x v="51"/>
    <n v="80.91"/>
    <n v="-0.23627204871313084"/>
    <x v="0"/>
    <n v="81.101620460200863"/>
    <n v="-0.19162046020086621"/>
  </r>
  <r>
    <x v="52"/>
    <x v="52"/>
    <n v="7.0705000000000004E-2"/>
    <n v="1.142832523301753E-2"/>
    <x v="1"/>
    <n v="7.0696920525992565E-2"/>
    <n v="8.0794740074385807E-6"/>
  </r>
  <r>
    <x v="53"/>
    <x v="53"/>
    <n v="0.152616"/>
    <n v="-0.3945121998644997"/>
    <x v="1"/>
    <n v="0.15322047346049181"/>
    <n v="-6.0447346049180561E-4"/>
  </r>
  <r>
    <x v="54"/>
    <x v="54"/>
    <n v="3.7500000000000001E-6"/>
    <n v="-0.64820364747108716"/>
    <x v="1"/>
    <n v="3.7744662277609109E-6"/>
    <n v="-2.4466227760910798E-8"/>
  </r>
  <r>
    <x v="55"/>
    <x v="55"/>
    <n v="0.99919599999999997"/>
    <n v="-2.0785640772402279E-2"/>
    <x v="1"/>
    <n v="0.99940373246969716"/>
    <n v="-2.0773246969718606E-4"/>
  </r>
  <r>
    <x v="56"/>
    <x v="56"/>
    <n v="2.5499999999999998"/>
    <n v="-0.67768520265549548"/>
    <x v="1"/>
    <n v="2.5673988823186158"/>
    <n v="-1.7398882318615971E-2"/>
  </r>
  <r>
    <x v="57"/>
    <x v="57"/>
    <n v="2.0099999999999998"/>
    <n v="-0.15940971873374071"/>
    <x v="1"/>
    <n v="2.0132092512048669"/>
    <n v="-3.2092512048671473E-3"/>
  </r>
  <r>
    <x v="58"/>
    <x v="58"/>
    <n v="8.98"/>
    <n v="-0.56416051559823477"/>
    <x v="1"/>
    <n v="9.0309490487166535"/>
    <n v="-5.0949048716653067E-2"/>
  </r>
  <r>
    <x v="59"/>
    <x v="59"/>
    <n v="88.75"/>
    <n v="-0.72788565888266055"/>
    <x v="0"/>
    <n v="89.400735129946554"/>
    <n v="-0.65073512994655403"/>
  </r>
  <r>
    <x v="60"/>
    <x v="60"/>
    <n v="0.99830099999999999"/>
    <n v="-1.0009879803440602E-2"/>
    <x v="1"/>
    <n v="0.99840093873392366"/>
    <n v="-9.9938733923665701E-5"/>
  </r>
  <r>
    <x v="61"/>
    <x v="61"/>
    <n v="1.9"/>
    <n v="-6.9964460628921921E-2"/>
    <x v="1"/>
    <n v="1.9013302554580056"/>
    <n v="-1.3302554580056913E-3"/>
  </r>
  <r>
    <x v="62"/>
    <x v="62"/>
    <n v="0.99926000000000004"/>
    <n v="7.3147164101177733E-4"/>
    <x v="1"/>
    <n v="0.99925269074994516"/>
    <n v="7.3092500548765926E-6"/>
  </r>
  <r>
    <x v="63"/>
    <x v="63"/>
    <n v="8"/>
    <n v="0.20980787852562544"/>
    <x v="1"/>
    <n v="7.9832505114645098"/>
    <n v="1.6749488535490187E-2"/>
  </r>
  <r>
    <x v="64"/>
    <x v="64"/>
    <n v="73.64"/>
    <n v="-9.0844698906063295E-2"/>
    <x v="0"/>
    <n v="73.70695886485359"/>
    <n v="-6.6958864853589262E-2"/>
  </r>
  <r>
    <x v="65"/>
    <x v="65"/>
    <n v="1.22"/>
    <n v="5.9546031291903272E-2"/>
    <x v="1"/>
    <n v="1.2192739707398492"/>
    <n v="7.260292601507512E-4"/>
  </r>
  <r>
    <x v="66"/>
    <x v="66"/>
    <n v="2.06"/>
    <n v="-0.36321184248508648"/>
    <x v="1"/>
    <n v="2.067509439127408"/>
    <n v="-7.5094391274079797E-3"/>
  </r>
  <r>
    <x v="67"/>
    <x v="67"/>
    <n v="0.115578"/>
    <n v="3.4521222066742678E-2"/>
    <x v="1"/>
    <n v="0.11553811483080752"/>
    <n v="3.9885169192482861E-5"/>
  </r>
  <r>
    <x v="68"/>
    <x v="68"/>
    <n v="1"/>
    <n v="3.6520957212520331E-3"/>
    <x v="1"/>
    <n v="0.99996348037651894"/>
    <n v="3.6519623481057195E-5"/>
  </r>
  <r>
    <x v="69"/>
    <x v="69"/>
    <n v="1.93"/>
    <n v="-1.536708769952134"/>
    <x v="1"/>
    <n v="1.9601213567915199"/>
    <n v="-3.0121356791519949E-2"/>
  </r>
  <r>
    <x v="70"/>
    <x v="70"/>
    <n v="1.1000000000000001"/>
    <n v="0"/>
    <x v="1"/>
    <n v="1.1000000000000001"/>
    <n v="0"/>
  </r>
  <r>
    <x v="71"/>
    <x v="71"/>
    <n v="11.09"/>
    <n v="0"/>
    <x v="0"/>
    <n v="11.09"/>
    <n v="0"/>
  </r>
  <r>
    <x v="72"/>
    <x v="72"/>
    <n v="9.1508000000000006E-2"/>
    <n v="3.8823601440828505E-2"/>
    <x v="1"/>
    <n v="9.1472487086185647E-2"/>
    <n v="3.5512913814358948E-5"/>
  </r>
  <r>
    <x v="73"/>
    <x v="73"/>
    <n v="105.74"/>
    <n v="0"/>
    <x v="0"/>
    <n v="105.74"/>
    <n v="0"/>
  </r>
  <r>
    <x v="74"/>
    <x v="74"/>
    <n v="0.10625999999999999"/>
    <n v="-0.92173924283602915"/>
    <x v="1"/>
    <n v="0.10724855199107514"/>
    <n v="-9.885519910751428E-4"/>
  </r>
  <r>
    <x v="75"/>
    <x v="75"/>
    <n v="3.4611650000000001E-2"/>
    <n v="-1.2834753987679129E-2"/>
    <x v="1"/>
    <n v="3.4616092890362625E-2"/>
    <n v="-4.4428903626242411E-6"/>
  </r>
  <r>
    <x v="76"/>
    <x v="76"/>
    <n v="0.26061099999999998"/>
    <n v="-1.3984860526017806"/>
    <x v="1"/>
    <n v="0.26430730073681252"/>
    <n v="-3.6963007368125411E-3"/>
  </r>
  <r>
    <x v="77"/>
    <x v="77"/>
    <n v="0.87499899999999997"/>
    <n v="-3.8154939888950794E-2"/>
    <x v="1"/>
    <n v="0.87533298277340532"/>
    <n v="-3.3398277340535021E-4"/>
  </r>
  <r>
    <x v="78"/>
    <x v="78"/>
    <n v="3.4954939999999997E-2"/>
    <n v="0.14167470231893425"/>
    <x v="1"/>
    <n v="3.490548775413136E-2"/>
    <n v="4.9452245868636391E-5"/>
  </r>
  <r>
    <x v="79"/>
    <x v="79"/>
    <n v="9.2516000000000001E-2"/>
    <n v="0.27689853311011403"/>
    <x v="1"/>
    <n v="9.2260531940417403E-2"/>
    <n v="2.5546805958259755E-4"/>
  </r>
  <r>
    <x v="80"/>
    <x v="80"/>
    <n v="0.95929299999999995"/>
    <n v="-0.93372226689195204"/>
    <x v="1"/>
    <n v="0.96833455536141877"/>
    <n v="-9.0415553614188182E-3"/>
  </r>
  <r>
    <x v="81"/>
    <x v="81"/>
    <n v="16.89"/>
    <n v="-5.6718009400309854E-2"/>
    <x v="0"/>
    <n v="16.899585108270323"/>
    <n v="-9.5851082703219959E-3"/>
  </r>
  <r>
    <x v="82"/>
    <x v="82"/>
    <n v="0.98548500000000006"/>
    <n v="-0.7649258471107746"/>
    <x v="1"/>
    <n v="0.99308133582052416"/>
    <n v="-7.5963358205241027E-3"/>
  </r>
  <r>
    <x v="83"/>
    <x v="83"/>
    <n v="7.01"/>
    <n v="-0.93137384136615964"/>
    <x v="1"/>
    <n v="7.0759031106126606"/>
    <n v="-6.5903110612660853E-2"/>
  </r>
  <r>
    <x v="84"/>
    <x v="84"/>
    <n v="8.4871300000000007E-3"/>
    <n v="-0.28081130095493589"/>
    <x v="1"/>
    <n v="8.5110299338819976E-3"/>
    <n v="-2.3899933881996877E-5"/>
  </r>
  <r>
    <x v="85"/>
    <x v="85"/>
    <n v="3.5748380000000003E-2"/>
    <n v="-3.2478520796764006E-2"/>
    <x v="1"/>
    <n v="3.5759994317191235E-2"/>
    <n v="-1.1614317191231682E-5"/>
  </r>
  <r>
    <x v="86"/>
    <x v="86"/>
    <n v="0.21218899999999999"/>
    <n v="-1.3785026420975171"/>
    <x v="1"/>
    <n v="0.21515491620448146"/>
    <n v="-2.9659162044814724E-3"/>
  </r>
  <r>
    <x v="87"/>
    <x v="87"/>
    <n v="0.11032599999999999"/>
    <n v="-1.1177254384630504"/>
    <x v="1"/>
    <n v="0.11157308070552252"/>
    <n v="-1.2470807055225269E-3"/>
  </r>
  <r>
    <x v="88"/>
    <x v="88"/>
    <n v="1.7726700000000001E-3"/>
    <n v="-0.75974920005497459"/>
    <x v="1"/>
    <n v="1.7862409513388514E-3"/>
    <n v="-1.3570951338851304E-5"/>
  </r>
  <r>
    <x v="89"/>
    <x v="89"/>
    <n v="13.39"/>
    <n v="-1.4819695960968398"/>
    <x v="0"/>
    <n v="13.591420722789344"/>
    <n v="-0.20142072278934364"/>
  </r>
  <r>
    <x v="90"/>
    <x v="90"/>
    <n v="48.18"/>
    <n v="0.37147373851804905"/>
    <x v="0"/>
    <n v="48.001686341196653"/>
    <n v="0.17831365880334715"/>
  </r>
  <r>
    <x v="91"/>
    <x v="91"/>
    <n v="7.8797000000000006E-2"/>
    <n v="-0.1827800413121955"/>
    <x v="1"/>
    <n v="7.8941288920501271E-2"/>
    <n v="-1.4428892050126485E-4"/>
  </r>
  <r>
    <x v="92"/>
    <x v="92"/>
    <n v="9.3138400000000003E-3"/>
    <n v="0.10685062857596712"/>
    <x v="1"/>
    <n v="9.3038987257294883E-3"/>
    <n v="9.9412742705119739E-6"/>
  </r>
  <r>
    <x v="93"/>
    <x v="93"/>
    <n v="0.99903600000000004"/>
    <n v="1.0227157700040065E-2"/>
    <x v="1"/>
    <n v="0.99893383746112374"/>
    <n v="1.0216253887629367E-4"/>
  </r>
  <r>
    <x v="94"/>
    <x v="94"/>
    <n v="6.5942500000000003E-3"/>
    <n v="-0.43788924434869664"/>
    <x v="1"/>
    <n v="6.6232525103689611E-3"/>
    <n v="-2.9002510368960829E-5"/>
  </r>
  <r>
    <x v="95"/>
    <x v="95"/>
    <n v="115.31"/>
    <n v="0"/>
    <x v="0"/>
    <n v="115.31"/>
    <n v="0"/>
  </r>
  <r>
    <x v="96"/>
    <x v="96"/>
    <n v="0.99855000000000005"/>
    <n v="4.4487532887839989E-4"/>
    <x v="1"/>
    <n v="0.99854555771716602"/>
    <n v="4.4422828340273668E-6"/>
  </r>
  <r>
    <x v="97"/>
    <x v="97"/>
    <n v="6.1600000000000003E-6"/>
    <n v="-0.53513109172105677"/>
    <x v="1"/>
    <n v="6.1931414253211499E-6"/>
    <n v="-3.3141425321149549E-8"/>
  </r>
  <r>
    <x v="98"/>
    <x v="98"/>
    <n v="0.236182"/>
    <n v="-0.29263925232682847"/>
    <x v="1"/>
    <n v="0.23687518978433264"/>
    <n v="-6.9318978433263734E-4"/>
  </r>
  <r>
    <x v="99"/>
    <x v="99"/>
    <n v="1.004557E-2"/>
    <n v="-6.1557530964273965"/>
    <x v="1"/>
    <n v="1.0704513416067032E-2"/>
    <n v="-6.589434160670319E-4"/>
  </r>
  <r>
    <x v="100"/>
    <x v="100"/>
    <n v="1.299224E-2"/>
    <n v="0.74374329820953344"/>
    <x v="1"/>
    <n v="1.2896324451178998E-2"/>
    <n v="9.5915548821002769E-5"/>
  </r>
  <r>
    <x v="101"/>
    <x v="101"/>
    <n v="0.99986399999999998"/>
    <n v="5.8097547618077491E-3"/>
    <x v="1"/>
    <n v="0.99980591372831829"/>
    <n v="5.8086271681689894E-5"/>
  </r>
  <r>
    <x v="102"/>
    <x v="102"/>
    <n v="3.027649E-2"/>
    <n v="0.53323550554772248"/>
    <x v="1"/>
    <n v="3.0115901321338907E-2"/>
    <n v="1.605886786610923E-4"/>
  </r>
  <r>
    <x v="103"/>
    <x v="103"/>
    <n v="0.99854200000000004"/>
    <n v="-8.5989128240925403E-2"/>
    <x v="1"/>
    <n v="0.99940137653130712"/>
    <n v="-8.593765313070767E-4"/>
  </r>
  <r>
    <x v="104"/>
    <x v="104"/>
    <n v="4.93"/>
    <n v="-0.94066156139839119"/>
    <x v="1"/>
    <n v="4.9768149855509929"/>
    <n v="-4.6814985550993171E-2"/>
  </r>
  <r>
    <x v="105"/>
    <x v="105"/>
    <n v="0.99967799999999996"/>
    <n v="3.1267460640867009E-3"/>
    <x v="1"/>
    <n v="0.99964674358479011"/>
    <n v="3.1256415209846011E-5"/>
  </r>
  <r>
    <x v="106"/>
    <x v="106"/>
    <n v="1.38"/>
    <n v="0.85723729515254488"/>
    <x v="1"/>
    <n v="1.368270673488224"/>
    <n v="1.1729326511775939E-2"/>
  </r>
  <r>
    <x v="107"/>
    <x v="107"/>
    <n v="2.04"/>
    <n v="-0.80213476534117634"/>
    <x v="1"/>
    <n v="2.0564958683074992"/>
    <n v="-1.6495868307499162E-2"/>
  </r>
  <r>
    <x v="108"/>
    <x v="108"/>
    <n v="0.73280100000000004"/>
    <n v="-0.91518623852076797"/>
    <x v="1"/>
    <n v="0.73956943771830341"/>
    <n v="-6.7684377183033773E-3"/>
  </r>
  <r>
    <x v="109"/>
    <x v="109"/>
    <n v="1.45"/>
    <n v="4.1447496129224208E-2"/>
    <x v="1"/>
    <n v="1.4493992602976911"/>
    <n v="6.0073970230889451E-4"/>
  </r>
  <r>
    <x v="110"/>
    <x v="110"/>
    <n v="0.248942"/>
    <n v="-2.0648232511594364"/>
    <x v="1"/>
    <n v="0.254190586328775"/>
    <n v="-5.2485863287750067E-3"/>
  </r>
  <r>
    <x v="111"/>
    <x v="111"/>
    <n v="0.24349899999999999"/>
    <n v="-0.38965096199466137"/>
    <x v="1"/>
    <n v="0.24445150765117324"/>
    <n v="-9.5250765117324554E-4"/>
  </r>
  <r>
    <x v="112"/>
    <x v="112"/>
    <n v="4.3249959999999997E-2"/>
    <n v="-1.1358438426370945"/>
    <x v="1"/>
    <n v="4.3746855969881211E-2"/>
    <n v="-4.9689596988121421E-4"/>
  </r>
  <r>
    <x v="113"/>
    <x v="113"/>
    <n v="0.43762800000000002"/>
    <n v="0.41786221904224868"/>
    <x v="1"/>
    <n v="0.43580692750200029"/>
    <n v="1.8210724979997317E-3"/>
  </r>
  <r>
    <x v="114"/>
    <x v="114"/>
    <n v="0.19362299999999999"/>
    <n v="-1.2785764690005983"/>
    <x v="1"/>
    <n v="0.19613068073233431"/>
    <n v="-2.5076807323343164E-3"/>
  </r>
  <r>
    <x v="115"/>
    <x v="115"/>
    <n v="1.1599999999999999"/>
    <n v="2.3664700818693984E-2"/>
    <x v="1"/>
    <n v="1.1597255544172291"/>
    <n v="2.7444558277078812E-4"/>
  </r>
  <r>
    <x v="116"/>
    <x v="116"/>
    <n v="1.0349999999999999"/>
    <n v="0"/>
    <x v="1"/>
    <n v="1.0349999999999999"/>
    <n v="0"/>
  </r>
  <r>
    <x v="117"/>
    <x v="117"/>
    <n v="7.6660000000000001E-5"/>
    <n v="-0.47084749742235543"/>
    <x v="1"/>
    <n v="7.7022659263590763E-5"/>
    <n v="-3.6265926359076151E-7"/>
  </r>
  <r>
    <x v="118"/>
    <x v="118"/>
    <n v="1.17"/>
    <n v="5.9546031291912063E-2"/>
    <x v="1"/>
    <n v="1.1693037260373964"/>
    <n v="6.9627396260352192E-4"/>
  </r>
  <r>
    <x v="119"/>
    <x v="119"/>
    <n v="6.2087999999999997E-2"/>
    <n v="-0.56684600329461188"/>
    <x v="1"/>
    <n v="6.2441949696232318E-2"/>
    <n v="-3.5394969623232103E-4"/>
  </r>
  <r>
    <x v="120"/>
    <x v="120"/>
    <n v="3.88"/>
    <n v="4.6932999382679169E-2"/>
    <x v="1"/>
    <n v="3.8781798538731227"/>
    <n v="1.8201461268771979E-3"/>
  </r>
  <r>
    <x v="121"/>
    <x v="121"/>
    <n v="0.99956999999999996"/>
    <n v="-2.2825705710728492E-2"/>
    <x v="1"/>
    <n v="0.99979821099734334"/>
    <n v="-2.2821099734338102E-4"/>
  </r>
  <r>
    <x v="122"/>
    <x v="122"/>
    <n v="0.42183399999999999"/>
    <n v="-0.15854028913523016"/>
    <x v="1"/>
    <n v="0.42250383880765308"/>
    <n v="-6.6983880765308923E-4"/>
  </r>
  <r>
    <x v="123"/>
    <x v="123"/>
    <n v="2.0131980000000001E-2"/>
    <n v="9.6325534298319124E-2"/>
    <x v="1"/>
    <n v="2.0112606424400378E-2"/>
    <n v="1.9373575599623133E-5"/>
  </r>
  <r>
    <x v="124"/>
    <x v="124"/>
    <n v="0.11056000000000001"/>
    <n v="-1.1516376048372927"/>
    <x v="1"/>
    <n v="0.11184808460257348"/>
    <n v="-1.2880846025734721E-3"/>
  </r>
  <r>
    <x v="125"/>
    <x v="125"/>
    <n v="0.34807300000000002"/>
    <n v="-5.5739572009547003E-2"/>
    <x v="1"/>
    <n v="0.34826712260358922"/>
    <n v="-1.9412260358919742E-4"/>
  </r>
  <r>
    <x v="126"/>
    <x v="126"/>
    <n v="0.99834400000000001"/>
    <n v="3.1897769888207458E-2"/>
    <x v="1"/>
    <n v="0.99802565207407612"/>
    <n v="3.1834792592388972E-4"/>
  </r>
  <r>
    <x v="127"/>
    <x v="127"/>
    <n v="0.51069799999999999"/>
    <n v="-0.83747680478302855"/>
    <x v="1"/>
    <n v="0.51501109849192817"/>
    <n v="-4.3130984919281801E-3"/>
  </r>
  <r>
    <x v="128"/>
    <x v="128"/>
    <n v="0.402478"/>
    <n v="-1.0742652871668881"/>
    <x v="1"/>
    <n v="0.40684863364253454"/>
    <n v="-4.3706336425345382E-3"/>
  </r>
  <r>
    <x v="129"/>
    <x v="129"/>
    <n v="6.0499999999999997E-6"/>
    <n v="-4.7070535088897936"/>
    <x v="1"/>
    <n v="6.3488434588014329E-6"/>
    <n v="-2.9884345880143324E-7"/>
  </r>
  <r>
    <x v="130"/>
    <x v="130"/>
    <n v="0.38855800000000001"/>
    <n v="-2.3028339129458826"/>
    <x v="1"/>
    <n v="0.39771675634252396"/>
    <n v="-9.1587563425239438E-3"/>
  </r>
  <r>
    <x v="131"/>
    <x v="131"/>
    <n v="0.23450799999999999"/>
    <n v="-0.81519762586690392"/>
    <x v="1"/>
    <n v="0.23643541589710171"/>
    <n v="-1.9274158971017141E-3"/>
  </r>
  <r>
    <x v="132"/>
    <x v="132"/>
    <n v="1.42"/>
    <n v="3.0246675251777844"/>
    <x v="1"/>
    <n v="1.3783106843348676"/>
    <n v="4.1689315665132343E-2"/>
  </r>
  <r>
    <x v="133"/>
    <x v="133"/>
    <n v="1.38"/>
    <n v="-0.28837439042785062"/>
    <x v="1"/>
    <n v="1.3839910758284961"/>
    <n v="-3.9910758284962267E-3"/>
  </r>
  <r>
    <x v="134"/>
    <x v="134"/>
    <n v="144.13"/>
    <n v="-2.8582104671558547E-3"/>
    <x v="0"/>
    <n v="144.13411965649476"/>
    <n v="-4.1196564947654224E-3"/>
  </r>
  <r>
    <x v="135"/>
    <x v="135"/>
    <n v="0.34193800000000002"/>
    <n v="-0.58887890381040819"/>
    <x v="1"/>
    <n v="0.34396352865706331"/>
    <n v="-2.0255286570632913E-3"/>
  </r>
  <r>
    <x v="136"/>
    <x v="136"/>
    <n v="0.38308399999999998"/>
    <n v="-0.57606204052743182"/>
    <x v="1"/>
    <n v="0.38530358770958523"/>
    <n v="-2.2195877095852468E-3"/>
  </r>
  <r>
    <x v="137"/>
    <x v="137"/>
    <n v="4.3899999999999997"/>
    <n v="-2.8118704607825489E-2"/>
    <x v="1"/>
    <n v="4.3912347583303308"/>
    <n v="-1.2347583303311538E-3"/>
  </r>
  <r>
    <x v="138"/>
    <x v="138"/>
    <n v="0.99989499999999998"/>
    <n v="1.4221386783271795E-2"/>
    <x v="1"/>
    <n v="0.99975282128440857"/>
    <n v="1.4217871559141226E-4"/>
  </r>
  <r>
    <x v="139"/>
    <x v="139"/>
    <n v="4.1979330000000002E-2"/>
    <n v="-0.21228335426243777"/>
    <x v="1"/>
    <n v="4.2068634708852366E-2"/>
    <n v="-8.9304708852364079E-5"/>
  </r>
  <r>
    <x v="140"/>
    <x v="140"/>
    <n v="3.9454759999999998E-2"/>
    <n v="-2.2418454740153838E-2"/>
    <x v="1"/>
    <n v="3.9463607130903473E-2"/>
    <n v="-8.8471309034748868E-6"/>
  </r>
  <r>
    <x v="141"/>
    <x v="141"/>
    <n v="2.7296379999999999E-2"/>
    <n v="-1.1465244661153251"/>
    <x v="1"/>
    <n v="2.7612969450571755E-2"/>
    <n v="-3.1658945057175605E-4"/>
  </r>
  <r>
    <x v="142"/>
    <x v="142"/>
    <n v="3.2307699999999998E-7"/>
    <n v="-0.14271893347297124"/>
    <x v="1"/>
    <n v="3.2353875105487727E-7"/>
    <n v="-4.6175105487729709E-10"/>
  </r>
  <r>
    <x v="143"/>
    <x v="143"/>
    <n v="1.84"/>
    <n v="-1.0454899598452905"/>
    <x v="1"/>
    <n v="1.8594402612405916"/>
    <n v="-1.9440261240591505E-2"/>
  </r>
  <r>
    <x v="144"/>
    <x v="144"/>
    <n v="118.67"/>
    <n v="-0.34598260317002993"/>
    <x v="0"/>
    <n v="119.08200301393462"/>
    <n v="-0.41200301393462269"/>
  </r>
  <r>
    <x v="145"/>
    <x v="145"/>
    <n v="5.2684000000000002E-2"/>
    <n v="1.1304244275461957"/>
    <x v="1"/>
    <n v="5.209510421638236E-2"/>
    <n v="5.88895783617642E-4"/>
  </r>
  <r>
    <x v="146"/>
    <x v="146"/>
    <n v="1.0389999999999999"/>
    <n v="3.6413312387483326E-2"/>
    <x v="1"/>
    <n v="1.038621803398204"/>
    <n v="3.7819660179594372E-4"/>
  </r>
  <r>
    <x v="147"/>
    <x v="147"/>
    <n v="0.358068"/>
    <n v="-0.99276731782324401"/>
    <x v="1"/>
    <n v="0.36165842666205461"/>
    <n v="-3.5904266620546132E-3"/>
  </r>
  <r>
    <x v="148"/>
    <x v="148"/>
    <n v="17.489999999999998"/>
    <n v="0.64918931790000312"/>
    <x v="0"/>
    <n v="17.377189144323768"/>
    <n v="0.11281085567622995"/>
  </r>
  <r>
    <x v="149"/>
    <x v="149"/>
    <n v="15.02"/>
    <n v="-0.22060077502847475"/>
    <x v="0"/>
    <n v="15.053207492394868"/>
    <n v="-3.3207492394868865E-2"/>
  </r>
  <r>
    <x v="150"/>
    <x v="150"/>
    <n v="0.29928100000000002"/>
    <n v="-2.5331040002473739"/>
    <x v="1"/>
    <n v="0.30705912702991961"/>
    <n v="-7.7781270299195904E-3"/>
  </r>
  <r>
    <x v="151"/>
    <x v="151"/>
    <n v="5.7339000000000001E-2"/>
    <n v="-0.62099615639521411"/>
    <x v="1"/>
    <n v="5.7697298002942168E-2"/>
    <n v="-3.5829800294216729E-4"/>
  </r>
  <r>
    <x v="152"/>
    <x v="152"/>
    <n v="3.0936399999999999E-3"/>
    <n v="-1.566869469016164"/>
    <x v="1"/>
    <n v="3.1428849040072066E-3"/>
    <n v="-4.9244904007206703E-5"/>
  </r>
  <r>
    <x v="153"/>
    <x v="153"/>
    <n v="3.0530000000000001E-5"/>
    <n v="-0.87382045024721045"/>
    <x v="1"/>
    <n v="3.0799129088473114E-5"/>
    <n v="-2.6912908847311295E-7"/>
  </r>
  <r>
    <x v="154"/>
    <x v="154"/>
    <n v="3.0067100000000001E-3"/>
    <n v="-0.76295536920603702"/>
    <x v="1"/>
    <n v="3.0298262218371188E-3"/>
    <n v="-2.3116221837118662E-5"/>
  </r>
  <r>
    <x v="155"/>
    <x v="155"/>
    <n v="1.0009999999999999"/>
    <n v="0.21034617415088672"/>
    <x v="1"/>
    <n v="0.99889885447597271"/>
    <n v="2.1011455240271815E-3"/>
  </r>
  <r>
    <x v="156"/>
    <x v="156"/>
    <n v="5.7455800000000001E-3"/>
    <n v="0.51490637960545893"/>
    <x v="1"/>
    <n v="5.7161471934333739E-3"/>
    <n v="2.9432806566626231E-5"/>
  </r>
  <r>
    <x v="157"/>
    <x v="157"/>
    <n v="18.95"/>
    <n v="-0.3268767367031214"/>
    <x v="0"/>
    <n v="19.01214628334823"/>
    <n v="-6.2146283348230469E-2"/>
  </r>
  <r>
    <x v="158"/>
    <x v="158"/>
    <n v="75.13"/>
    <n v="0.10604256576576972"/>
    <x v="0"/>
    <n v="75.050414614724701"/>
    <n v="7.9585385275294129E-2"/>
  </r>
  <r>
    <x v="159"/>
    <x v="159"/>
    <n v="2.8398599999999999E-7"/>
    <n v="-1.1642310509314393"/>
    <x v="1"/>
    <n v="2.8733119903821651E-7"/>
    <n v="-3.3451990382165269E-9"/>
  </r>
  <r>
    <x v="160"/>
    <x v="160"/>
    <n v="4.4382959999999999E-2"/>
    <n v="0.20048364614252021"/>
    <x v="1"/>
    <n v="4.4294157458099892E-2"/>
    <n v="8.8802541900107057E-5"/>
  </r>
  <r>
    <x v="161"/>
    <x v="161"/>
    <n v="0.129576"/>
    <n v="-0.4436143850960757"/>
    <x v="1"/>
    <n v="0.13015337911243138"/>
    <n v="-5.7737911243138651E-4"/>
  </r>
  <r>
    <x v="162"/>
    <x v="162"/>
    <n v="2.54243E-2"/>
    <n v="-0.91393210402664038"/>
    <x v="1"/>
    <n v="2.5658804047701229E-2"/>
    <n v="-2.3450404770122835E-4"/>
  </r>
  <r>
    <x v="163"/>
    <x v="163"/>
    <n v="0.99280000000000002"/>
    <n v="-3.0696287601369623E-2"/>
    <x v="1"/>
    <n v="0.99310484631980955"/>
    <n v="-3.0484631980953747E-4"/>
  </r>
  <r>
    <x v="164"/>
    <x v="164"/>
    <n v="0.124293"/>
    <n v="-0.66415224522006822"/>
    <x v="1"/>
    <n v="0.12512401394794476"/>
    <n v="-8.3101394794475592E-4"/>
  </r>
  <r>
    <x v="165"/>
    <x v="165"/>
    <n v="6.31"/>
    <n v="-0.40392273980911308"/>
    <x v="1"/>
    <n v="6.3355908923153361"/>
    <n v="-2.5590892315336511E-2"/>
  </r>
  <r>
    <x v="166"/>
    <x v="166"/>
    <n v="0.101539"/>
    <n v="-2.2438954959968607"/>
    <x v="1"/>
    <n v="0.10386972815170019"/>
    <n v="-2.3307281517001843E-3"/>
  </r>
  <r>
    <x v="167"/>
    <x v="167"/>
    <n v="5.6327000000000002E-2"/>
    <n v="-0.43209859983376631"/>
    <x v="1"/>
    <n v="5.6571444419241279E-2"/>
    <n v="-2.4444441924127702E-4"/>
  </r>
  <r>
    <x v="168"/>
    <x v="168"/>
    <n v="0.99952300000000005"/>
    <n v="-2.481104511874424E-2"/>
    <x v="1"/>
    <n v="0.99977105364720464"/>
    <n v="-2.4805364720459355E-4"/>
  </r>
  <r>
    <x v="169"/>
    <x v="169"/>
    <n v="0.99802999999999997"/>
    <n v="-0.12642839999330224"/>
    <x v="1"/>
    <n v="0.99929339064503131"/>
    <n v="-1.263390645031337E-3"/>
  </r>
  <r>
    <x v="170"/>
    <x v="170"/>
    <n v="1.1400000000000001E-6"/>
    <n v="-0.26114304249148512"/>
    <x v="1"/>
    <n v="1.1429848253481301E-6"/>
    <n v="-2.9848253481300355E-9"/>
  </r>
  <r>
    <x v="171"/>
    <x v="171"/>
    <n v="0.49956499999999998"/>
    <n v="-2.6858335023109459"/>
    <x v="1"/>
    <n v="0.51335280152850438"/>
    <n v="-1.3787801528504395E-2"/>
  </r>
  <r>
    <x v="172"/>
    <x v="172"/>
    <n v="0.20146600000000001"/>
    <n v="0.89722200769105975"/>
    <x v="1"/>
    <n v="0.19967447665173865"/>
    <n v="1.7915233482613535E-3"/>
  </r>
  <r>
    <x v="173"/>
    <x v="173"/>
    <n v="7.1777999999999995E-2"/>
    <n v="-0.30284271484074793"/>
    <x v="1"/>
    <n v="7.1996034746203086E-2"/>
    <n v="-2.1803474620309127E-4"/>
  </r>
  <r>
    <x v="174"/>
    <x v="174"/>
    <n v="0.77480099999999996"/>
    <n v="-1.024241013953004"/>
    <x v="1"/>
    <n v="0.78281895277936364"/>
    <n v="-8.0179527793636796E-3"/>
  </r>
  <r>
    <x v="175"/>
    <x v="175"/>
    <n v="0.99920299999999995"/>
    <n v="-2.853099403055992E-2"/>
    <x v="1"/>
    <n v="0.9994881639083808"/>
    <n v="-2.8516390838084771E-4"/>
  </r>
  <r>
    <x v="176"/>
    <x v="176"/>
    <n v="22.65"/>
    <n v="-0.99654263582428237"/>
    <x v="0"/>
    <n v="22.877988913744616"/>
    <n v="-0.22798891374461761"/>
  </r>
  <r>
    <x v="177"/>
    <x v="177"/>
    <n v="8.7041999999999994E-2"/>
    <n v="-0.47675133310394902"/>
    <x v="1"/>
    <n v="8.7458961766138932E-2"/>
    <n v="-4.1696176613893743E-4"/>
  </r>
  <r>
    <x v="178"/>
    <x v="178"/>
    <n v="0.98303700000000005"/>
    <m/>
    <x v="1"/>
    <n v="0.98303700000000005"/>
    <n v="0"/>
  </r>
  <r>
    <x v="179"/>
    <x v="179"/>
    <n v="9.035E-2"/>
    <n v="-8.1519674093067152E-2"/>
    <x v="1"/>
    <n v="9.0423713116235205E-2"/>
    <n v="-7.3713116235205045E-5"/>
  </r>
  <r>
    <x v="180"/>
    <x v="180"/>
    <n v="1.2"/>
    <n v="-0.42772206487220499"/>
    <x v="1"/>
    <n v="1.2051547126217304"/>
    <n v="-5.1547126217303951E-3"/>
  </r>
  <r>
    <x v="181"/>
    <x v="181"/>
    <n v="0.93042400000000003"/>
    <n v="-0.79547780202328666"/>
    <x v="1"/>
    <n v="0.93788466431319217"/>
    <n v="-7.4606643131921446E-3"/>
  </r>
  <r>
    <x v="182"/>
    <x v="182"/>
    <n v="0.76845799999999997"/>
    <n v="-0.90660798781897445"/>
    <x v="1"/>
    <n v="0.7754886419727538"/>
    <n v="-7.0306419727538261E-3"/>
  </r>
  <r>
    <x v="183"/>
    <x v="183"/>
    <n v="2.89"/>
    <n v="-0.16260815431483883"/>
    <x v="1"/>
    <n v="2.8947070296737745"/>
    <n v="-4.7070296737743433E-3"/>
  </r>
  <r>
    <x v="184"/>
    <x v="184"/>
    <n v="0.34782600000000002"/>
    <n v="-0.5038008278453715"/>
    <x v="1"/>
    <n v="0.3495872233251538"/>
    <n v="-1.7612233251537712E-3"/>
  </r>
  <r>
    <x v="185"/>
    <x v="185"/>
    <n v="0.203241"/>
    <n v="-0.87453888258106072"/>
    <x v="1"/>
    <n v="0.20503410295287419"/>
    <n v="-1.7931029528741871E-3"/>
  </r>
  <r>
    <x v="186"/>
    <x v="186"/>
    <n v="1"/>
    <n v="0"/>
    <x v="1"/>
    <n v="1"/>
    <n v="0"/>
  </r>
  <r>
    <x v="187"/>
    <x v="187"/>
    <n v="0.74696399999999996"/>
    <n v="0.57632346678547186"/>
    <x v="1"/>
    <n v="0.74268373932626286"/>
    <n v="4.2802606737371018E-3"/>
  </r>
  <r>
    <x v="188"/>
    <x v="188"/>
    <n v="8.1731999999999999E-2"/>
    <n v="2.053190169349949"/>
    <x v="1"/>
    <n v="8.0087648278678605E-2"/>
    <n v="1.6443517213213937E-3"/>
  </r>
  <r>
    <x v="189"/>
    <x v="189"/>
    <n v="0.19622300000000001"/>
    <n v="-0.53044355158678147"/>
    <x v="1"/>
    <n v="0.19726940282654717"/>
    <n v="-1.0464028265471659E-3"/>
  </r>
  <r>
    <x v="190"/>
    <x v="190"/>
    <n v="0.439969"/>
    <n v="-3.6650378254042031"/>
    <x v="1"/>
    <n v="0.45670750272638078"/>
    <n v="-1.6738502726380777E-2"/>
  </r>
  <r>
    <x v="191"/>
    <x v="191"/>
    <n v="7.2418999999999997E-2"/>
    <n v="-0.38325574458021366"/>
    <x v="1"/>
    <n v="7.2697617796377581E-2"/>
    <n v="-2.7861779637758377E-4"/>
  </r>
  <r>
    <x v="192"/>
    <x v="192"/>
    <n v="0.46341100000000002"/>
    <n v="-1.0515680697051739"/>
    <x v="1"/>
    <n v="0.46833587047286851"/>
    <n v="-4.9248704728684922E-3"/>
  </r>
  <r>
    <x v="193"/>
    <x v="193"/>
    <n v="0.19168399999999999"/>
    <n v="-1.0280060505233499"/>
    <x v="1"/>
    <n v="0.1936749906219441"/>
    <n v="-1.9909906219441054E-3"/>
  </r>
  <r>
    <x v="194"/>
    <x v="194"/>
    <n v="1.51"/>
    <n v="-7.0580783258457416E-2"/>
    <x v="1"/>
    <n v="1.5110665225871984"/>
    <n v="-1.0665225871984152E-3"/>
  </r>
  <r>
    <x v="195"/>
    <x v="195"/>
    <n v="1.1499999999999999"/>
    <n v="-0.48562761328483611"/>
    <x v="1"/>
    <n v="1.155611970832789"/>
    <n v="-5.6119708327890816E-3"/>
  </r>
  <r>
    <x v="196"/>
    <x v="196"/>
    <n v="4.7894599999999997E-3"/>
    <n v="-8.0085619634541722E-2"/>
    <x v="1"/>
    <n v="4.7932987429992651E-3"/>
    <n v="-3.8387429992653432E-6"/>
  </r>
  <r>
    <x v="197"/>
    <x v="197"/>
    <n v="1.079"/>
    <n v="3.9852367650472558E-4"/>
    <x v="1"/>
    <n v="1.0789956999466672"/>
    <n v="4.3000533327397505E-6"/>
  </r>
  <r>
    <x v="198"/>
    <x v="198"/>
    <n v="1.36"/>
    <n v="-9.2043837236484405E-2"/>
    <x v="1"/>
    <n v="1.3612529494491681"/>
    <n v="-1.2529494491679838E-3"/>
  </r>
  <r>
    <x v="199"/>
    <x v="199"/>
    <n v="1.1000000000000001"/>
    <n v="1.199410326652639E-2"/>
    <x v="1"/>
    <n v="1.0998680806866068"/>
    <n v="1.3191931339329166E-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btc"/>
    <x v="0"/>
    <n v="77625"/>
    <n v="-0.26998955724195595"/>
    <n v="0.27544999999999997"/>
    <n v="-2.7081622791946165"/>
    <x v="0"/>
    <n v="79785.726961759574"/>
    <n v="77839.408651129532"/>
  </r>
  <r>
    <s v="eth"/>
    <x v="1"/>
    <n v="2127.3200000000002"/>
    <n v="-0.35164690734941828"/>
    <n v="-2.0459999999999999E-2"/>
    <n v="-6.0984806126137565"/>
    <x v="0"/>
    <n v="2265.4798493982221"/>
    <n v="2126.8848393618669"/>
  </r>
  <r>
    <s v="usdt"/>
    <x v="2"/>
    <n v="0.99902000000000002"/>
    <n v="-1.9520477448468752E-4"/>
    <n v="1.1050000000000001E-2"/>
    <n v="-4.4205563985474129E-2"/>
    <x v="1"/>
    <n v="0.99946181773334852"/>
    <n v="0.99913040390963204"/>
  </r>
  <r>
    <s v="bnb"/>
    <x v="3"/>
    <n v="652.91"/>
    <n v="-0.19746184012934381"/>
    <n v="1.47464"/>
    <n v="-2.9628913906440819"/>
    <x v="0"/>
    <n v="672.84568693038023"/>
    <n v="662.6821764467544"/>
  </r>
  <r>
    <s v="xrp"/>
    <x v="4"/>
    <n v="1.37"/>
    <n v="-0.3644693030301106"/>
    <n v="0.25681999999999999"/>
    <n v="-4.1430433482969358"/>
    <x v="1"/>
    <n v="1.4292129104180773"/>
    <n v="1.3735274933083146"/>
  </r>
  <r>
    <s v="usdc"/>
    <x v="5"/>
    <n v="0.99968699999999999"/>
    <n v="-5.64363787272031E-4"/>
    <n v="-3.7499999999999999E-3"/>
    <n v="-1.6003052324647926E-3"/>
    <x v="1"/>
    <n v="0.99970299829939091"/>
    <n v="0.99964951314325723"/>
  </r>
  <r>
    <s v="sol"/>
    <x v="6"/>
    <n v="86.45"/>
    <n v="-0.31254002498921779"/>
    <n v="1.8313600000000001"/>
    <n v="-5.0537460497648681"/>
    <x v="0"/>
    <n v="91.051512201115031"/>
    <n v="88.062745903376069"/>
  </r>
  <r>
    <s v="trx"/>
    <x v="7"/>
    <n v="0.36092299999999999"/>
    <n v="0.39567427417631823"/>
    <n v="1.20871"/>
    <n v="2.6047322055623945"/>
    <x v="1"/>
    <n v="0.35176057891454027"/>
    <n v="0.36533888766914574"/>
  </r>
  <r>
    <s v="figr_heloc"/>
    <x v="8"/>
    <n v="1.0349999999999999"/>
    <m/>
    <n v="0.28842000000000001"/>
    <n v="0.15266824030407483"/>
    <x v="1"/>
    <n v="1.0334222923713268"/>
    <n v="1.0379937816650784"/>
  </r>
  <r>
    <s v="doge"/>
    <x v="9"/>
    <n v="0.10519299999999999"/>
    <n v="-0.46872006955437379"/>
    <n v="1.5492300000000001"/>
    <n v="-7.7199288742425418"/>
    <x v="1"/>
    <n v="0.1139931934563044"/>
    <n v="0.10684832632593935"/>
  </r>
  <r>
    <s v="hype"/>
    <x v="10"/>
    <n v="58.51"/>
    <n v="-1.3318135406100259E-2"/>
    <n v="19.842790000000001"/>
    <n v="49.695164804451998"/>
    <x v="0"/>
    <n v="39.086098790453306"/>
    <n v="72.994057552651839"/>
  </r>
  <r>
    <s v="wbt"/>
    <x v="11"/>
    <n v="57.18"/>
    <n v="-0.24685902293482925"/>
    <n v="8.9389999999999997E-2"/>
    <n v="-2.6285246538914002"/>
    <x v="0"/>
    <n v="58.723563340036385"/>
    <n v="57.231158932970182"/>
  </r>
  <r>
    <s v="zec"/>
    <x v="12"/>
    <n v="665.49"/>
    <n v="-9.4046672616777696E-2"/>
    <n v="13.32569"/>
    <n v="26.535394257960355"/>
    <x v="0"/>
    <n v="525.93189747629367"/>
    <n v="767.80536239630874"/>
  </r>
  <r>
    <s v="usds"/>
    <x v="13"/>
    <n v="0.99964600000000003"/>
    <n v="2.6770289844031442E-3"/>
    <n v="5.0600000000000003E-3"/>
    <n v="-2.4320300565846963E-2"/>
    <x v="1"/>
    <n v="0.99988917605294148"/>
    <n v="0.99969658464718314"/>
  </r>
  <r>
    <s v="leo"/>
    <x v="14"/>
    <n v="10.06"/>
    <n v="-0.23917070692341913"/>
    <n v="0.19786000000000001"/>
    <n v="-0.71973090489243552"/>
    <x v="0"/>
    <n v="10.132929827539868"/>
    <n v="10.079944177549701"/>
  </r>
  <r>
    <s v="ada"/>
    <x v="15"/>
    <n v="0.24875900000000001"/>
    <n v="-0.29343451903324225"/>
    <n v="-0.13300000000000001"/>
    <n v="-6.1145290019070497"/>
    <x v="1"/>
    <n v="0.26496005969342473"/>
    <n v="0.24842858997533279"/>
  </r>
  <r>
    <s v="bch"/>
    <x v="16"/>
    <n v="376.18"/>
    <n v="-0.17884023367537646"/>
    <n v="1.87476"/>
    <n v="-13.292683780606673"/>
    <x v="0"/>
    <n v="433.85035588941685"/>
    <n v="383.36721520375391"/>
  </r>
  <r>
    <s v="xmr"/>
    <x v="17"/>
    <n v="402.63"/>
    <n v="-0.35748960128909968"/>
    <n v="1.17431"/>
    <n v="1.9649242091725676"/>
    <x v="0"/>
    <n v="394.87108250484062"/>
    <n v="407.41430694792012"/>
  </r>
  <r>
    <s v="link"/>
    <x v="18"/>
    <n v="9.6199999999999992"/>
    <n v="-0.76263507813969977"/>
    <n v="0.27684999999999998"/>
    <n v="-6.3668807713147046"/>
    <x v="0"/>
    <n v="10.274142396671147"/>
    <n v="9.6467069080750036"/>
  </r>
  <r>
    <s v="cc"/>
    <x v="19"/>
    <n v="0.15551100000000001"/>
    <n v="0.90759973187467158"/>
    <n v="4.1122899999999998"/>
    <n v="-1.4206524132835012"/>
    <x v="1"/>
    <n v="0.15775210914558235"/>
    <n v="0.16218032529924847"/>
  </r>
  <r>
    <s v="ton"/>
    <x v="20"/>
    <n v="2.04"/>
    <n v="-0.84319713447796596"/>
    <n v="4.1837299999999997"/>
    <n v="-4.1933967248617057"/>
    <x v="1"/>
    <n v="2.1292895586137304"/>
    <n v="2.1290747385595368"/>
  </r>
  <r>
    <s v="xlm"/>
    <x v="21"/>
    <n v="0.144819"/>
    <n v="-0.58548653793091465"/>
    <n v="1.5304199999999999"/>
    <n v="-9.0729778300134019"/>
    <x v="1"/>
    <n v="0.15926948507041527"/>
    <n v="0.14706978540986973"/>
  </r>
  <r>
    <s v="usd1"/>
    <x v="22"/>
    <n v="0.99992000000000003"/>
    <n v="1.1011117154098476E-3"/>
    <n v="3.0000000000000001E-5"/>
    <n v="5.9678160215982982E-2"/>
    <x v="1"/>
    <n v="0.99932362204775815"/>
    <n v="0.99992029997609"/>
  </r>
  <r>
    <s v="usde"/>
    <x v="23"/>
    <n v="0.99930799999999997"/>
    <n v="-2.3653087844086539E-3"/>
    <n v="-1.5900000000000001E-2"/>
    <n v="-9.3638872835028919E-2"/>
    <x v="1"/>
    <n v="1.0002446177856876"/>
    <n v="0.99914913528748928"/>
  </r>
  <r>
    <s v="sui"/>
    <x v="24"/>
    <n v="1.1100000000000001"/>
    <n v="-1.5169068696385468"/>
    <n v="4.5434099999999997"/>
    <n v="-7.1601519320704128"/>
    <x v="1"/>
    <n v="1.1956072991285263"/>
    <n v="1.1628322360981052"/>
  </r>
  <r>
    <s v="dai"/>
    <x v="25"/>
    <n v="0.99981900000000001"/>
    <n v="8.3625673943511487E-4"/>
    <n v="1.8280000000000001E-2"/>
    <n v="2.9514382424712448E-2"/>
    <x v="1"/>
    <n v="0.99952399666519753"/>
    <n v="1.0000018003291002"/>
  </r>
  <r>
    <s v="ltc"/>
    <x v="26"/>
    <n v="54.03"/>
    <n v="-0.62285887553227504"/>
    <n v="-9.3060000000000004E-2"/>
    <n v="-5.3993416501327403"/>
    <x v="0"/>
    <n v="57.113767432968203"/>
    <n v="53.979766429360836"/>
  </r>
  <r>
    <s v="avax"/>
    <x v="27"/>
    <n v="9.4"/>
    <n v="-0.5270701326194368"/>
    <n v="2.0732599999999999"/>
    <n v="-3.1470069290993865"/>
    <x v="0"/>
    <n v="9.7054305726192585"/>
    <n v="9.5990124862729012"/>
  </r>
  <r>
    <s v="hbar"/>
    <x v="28"/>
    <n v="8.8805999999999996E-2"/>
    <n v="-0.18592621031752665"/>
    <n v="-0.39122000000000001"/>
    <n v="-4.5020050111720744"/>
    <x v="1"/>
    <n v="9.2992528283331169E-2"/>
    <n v="8.8459927073303815E-2"/>
  </r>
  <r>
    <s v="m"/>
    <x v="29"/>
    <n v="2.84"/>
    <n v="-0.53550966207052098"/>
    <n v="-15.32451"/>
    <n v="-15.498655555094864"/>
    <x v="1"/>
    <n v="3.3608932717652551"/>
    <n v="2.462616142917061"/>
  </r>
  <r>
    <s v="pyusd"/>
    <x v="30"/>
    <n v="0.99973599999999996"/>
    <n v="-7.7113846753832978E-3"/>
    <n v="-8.5400000000000007E-3"/>
    <n v="8.6002119353038777E-3"/>
    <x v="1"/>
    <n v="0.9996500279789825"/>
    <n v="0.999650629836212"/>
  </r>
  <r>
    <s v="rain"/>
    <x v="31"/>
    <n v="7.5084499999999998E-3"/>
    <n v="-0.4191197650307209"/>
    <n v="7.5850000000000001E-2"/>
    <n v="-0.15384555735126018"/>
    <x v="1"/>
    <n v="7.5200192154749696E-3"/>
    <n v="7.514149482382387E-3"/>
  </r>
  <r>
    <s v="shib"/>
    <x v="32"/>
    <n v="5.8000000000000004E-6"/>
    <n v="-0.35139883319247217"/>
    <n v="1.0641099999999999"/>
    <n v="-7.7832922731106606"/>
    <x v="1"/>
    <n v="6.289532713721883E-6"/>
    <n v="5.8623821951770992E-6"/>
  </r>
  <r>
    <s v="cro"/>
    <x v="33"/>
    <n v="6.9209000000000007E-2"/>
    <n v="-0.44028155194728957"/>
    <n v="0.63295999999999997"/>
    <n v="-6.6222142406727675"/>
    <x v="1"/>
    <n v="7.411719975710275E-2"/>
    <n v="6.9649855726808416E-2"/>
  </r>
  <r>
    <s v="usyc"/>
    <x v="34"/>
    <n v="1.1200000000000001"/>
    <m/>
    <m/>
    <n v="0.13357663397083344"/>
    <x v="1"/>
    <n v="1.1185059374180331"/>
    <n v="1.1200000000000001"/>
  </r>
  <r>
    <s v="tao"/>
    <x v="35"/>
    <n v="283.02"/>
    <n v="-1.781568348964804"/>
    <n v="7.9411100000000001"/>
    <n v="-4.4596294501491007"/>
    <x v="0"/>
    <n v="296.2307958103703"/>
    <n v="307.4336438338546"/>
  </r>
  <r>
    <s v="xaut"/>
    <x v="36"/>
    <n v="4522.5200000000004"/>
    <n v="1.202015389017762E-2"/>
    <n v="0.92886000000000002"/>
    <n v="-3.4818058999431787"/>
    <x v="0"/>
    <n v="4685.6657878530887"/>
    <n v="4564.9217319998543"/>
  </r>
  <r>
    <s v="usdg"/>
    <x v="37"/>
    <n v="0.99975899999999995"/>
    <n v="4.8599483188784334E-4"/>
    <n v="3.0599999999999998E-3"/>
    <n v="1.8589930632178946E-2"/>
    <x v="1"/>
    <n v="0.99957318003921281"/>
    <n v="0.99978959356156294"/>
  </r>
  <r>
    <s v="buidl"/>
    <x v="38"/>
    <n v="1"/>
    <n v="0"/>
    <n v="0"/>
    <n v="0"/>
    <x v="1"/>
    <n v="1"/>
    <n v="1"/>
  </r>
  <r>
    <s v="uni"/>
    <x v="39"/>
    <n v="3.62"/>
    <n v="-0.99050516050255055"/>
    <n v="-0.41322999999999999"/>
    <n v="0.58632792341699735"/>
    <x v="1"/>
    <n v="3.5988986522662851"/>
    <n v="3.6051026343839356"/>
  </r>
  <r>
    <s v="near"/>
    <x v="40"/>
    <n v="1.75"/>
    <n v="-0.11812262464886564"/>
    <n v="6.3548799999999996"/>
    <n v="10.639836616397185"/>
    <x v="1"/>
    <n v="1.5817087710166089"/>
    <n v="1.8687572828140964"/>
  </r>
  <r>
    <s v="mnt"/>
    <x v="41"/>
    <n v="0.68358699999999994"/>
    <n v="-0.34267195050204619"/>
    <n v="9.2082300000000004"/>
    <n v="1.0438859455008442"/>
    <x v="1"/>
    <n v="0.67652485215057967"/>
    <n v="0.7529173624437544"/>
  </r>
  <r>
    <s v="usdy"/>
    <x v="42"/>
    <n v="1.1299999999999999"/>
    <n v="0.42795131373949907"/>
    <n v="-0.23561000000000001"/>
    <n v="2.8911816051841989E-2"/>
    <x v="1"/>
    <n v="1.1296733909072341"/>
    <n v="1.1273438651193921"/>
  </r>
  <r>
    <s v="dot"/>
    <x v="43"/>
    <n v="1.27"/>
    <n v="-0.54818035898782391"/>
    <n v="2.3259799999999999"/>
    <n v="-4.5023257036709508"/>
    <x v="1"/>
    <n v="1.3298753182817764"/>
    <n v="1.3002434014695003"/>
  </r>
  <r>
    <s v="paxg"/>
    <x v="44"/>
    <n v="4524.24"/>
    <n v="3.1792901976748576E-2"/>
    <n v="0.93718000000000001"/>
    <n v="-3.4895275090278206"/>
    <x v="0"/>
    <n v="4687.8228685733648"/>
    <n v="4567.0413985792047"/>
  </r>
  <r>
    <s v="ondo"/>
    <x v="45"/>
    <n v="0.40456700000000001"/>
    <n v="-0.85457540649667207"/>
    <n v="7.5934699999999999"/>
    <n v="5.4569317177622905"/>
    <x v="1"/>
    <n v="0.38363243971743405"/>
    <n v="0.43781213297371951"/>
  </r>
  <r>
    <s v="wlfi"/>
    <x v="46"/>
    <n v="6.1742999999999999E-2"/>
    <n v="8.5060875340040809E-2"/>
    <n v="0.26554"/>
    <n v="-9.2719290133201966"/>
    <x v="1"/>
    <n v="6.8052808054372457E-2"/>
    <n v="6.1907388880433102E-2"/>
  </r>
  <r>
    <s v="aster"/>
    <x v="47"/>
    <n v="0.71816000000000002"/>
    <n v="4.2732958440488078"/>
    <n v="8.3919800000000002"/>
    <n v="6.301876591393631"/>
    <x v="1"/>
    <n v="0.67558543934316906"/>
    <n v="0.78394882893440987"/>
  </r>
  <r>
    <s v="htx"/>
    <x v="48"/>
    <n v="2.0099999999999998E-6"/>
    <n v="7.4229103767335616E-2"/>
    <n v="2.0961599999999998"/>
    <n v="2.7640844695456144"/>
    <x v="1"/>
    <n v="1.9559362693448296E-6"/>
    <n v="2.0530348962819028E-6"/>
  </r>
  <r>
    <s v="usdf"/>
    <x v="49"/>
    <n v="0.99793699999999996"/>
    <n v="5.862603634798183E-2"/>
    <n v="2.0209999999999999E-2"/>
    <n v="2.060919059783636E-2"/>
    <x v="1"/>
    <n v="0.99773137563914016"/>
    <n v="0.99813872383608726"/>
  </r>
  <r>
    <s v="rlusd"/>
    <x v="50"/>
    <n v="0.99985500000000005"/>
    <n v="-5.4478521218610477E-3"/>
    <n v="-7.5199999999999998E-3"/>
    <n v="4.5662620184120875E-4"/>
    <x v="1"/>
    <n v="0.99985043442093713"/>
    <n v="0.99977981655779491"/>
  </r>
  <r>
    <s v="okb"/>
    <x v="51"/>
    <n v="80.91"/>
    <n v="-0.23627204871313084"/>
    <n v="0.38945999999999997"/>
    <n v="-4.35506655847899"/>
    <x v="0"/>
    <n v="84.5941306963947"/>
    <n v="81.226344119808999"/>
  </r>
  <r>
    <s v="sky"/>
    <x v="52"/>
    <n v="7.0705000000000004E-2"/>
    <n v="1.142832523301753E-2"/>
    <n v="2.4282400000000002"/>
    <n v="-2.7877835679384351"/>
    <x v="1"/>
    <n v="7.273262825913801E-2"/>
    <n v="7.2464614761484275E-2"/>
  </r>
  <r>
    <s v="pi"/>
    <x v="53"/>
    <n v="0.152616"/>
    <n v="-0.3945121998644997"/>
    <n v="1.3580399999999999"/>
    <n v="-10.239751688685232"/>
    <x v="1"/>
    <n v="0.17002626760866693"/>
    <n v="0.15471712038163071"/>
  </r>
  <r>
    <s v="pepe"/>
    <x v="54"/>
    <n v="3.7500000000000001E-6"/>
    <n v="-0.64820364747108716"/>
    <n v="1.82717"/>
    <n v="-7.1632180720147183"/>
    <x v="1"/>
    <n v="4.0393472523734444E-6"/>
    <n v="3.8197941324498843E-6"/>
  </r>
  <r>
    <s v="usdd"/>
    <x v="55"/>
    <n v="0.99919599999999997"/>
    <n v="-2.0785640772402279E-2"/>
    <n v="-6.7400000000000003E-3"/>
    <n v="-3.5988291909135536E-2"/>
    <x v="1"/>
    <n v="0.99955572303139906"/>
    <n v="0.99912865872840162"/>
  </r>
  <r>
    <s v="icp"/>
    <x v="56"/>
    <n v="2.5499999999999998"/>
    <n v="-0.67768520265549548"/>
    <n v="1.3657600000000001"/>
    <n v="-14.346871097471393"/>
    <x v="1"/>
    <n v="2.9771241665927279"/>
    <n v="2.5853091178073657"/>
  </r>
  <r>
    <s v="bgb"/>
    <x v="57"/>
    <n v="2.0099999999999998"/>
    <n v="-0.15940971873374071"/>
    <n v="0.28819"/>
    <n v="-3.8710864471212432"/>
    <x v="1"/>
    <n v="2.0909421793208298"/>
    <n v="2.0158093609974586"/>
  </r>
  <r>
    <s v="etc"/>
    <x v="58"/>
    <n v="8.98"/>
    <n v="-0.56416051559823477"/>
    <n v="-0.78042999999999996"/>
    <n v="-2.8260044865838125"/>
    <x v="0"/>
    <n v="9.2411554681418746"/>
    <n v="8.9104600962706737"/>
  </r>
  <r>
    <s v="aave"/>
    <x v="59"/>
    <n v="88.75"/>
    <n v="-0.72788565888266055"/>
    <n v="1.1672199999999999"/>
    <n v="-8.2018127262532694"/>
    <x v="0"/>
    <n v="96.679468991411682"/>
    <n v="89.798141871553142"/>
  </r>
  <r>
    <s v="bfusd"/>
    <x v="60"/>
    <n v="0.99830099999999999"/>
    <n v="-1.0009879803440602E-2"/>
    <n v="-0.02"/>
    <n v="-7.9980589497204088E-2"/>
    <x v="1"/>
    <n v="0.99910008613856072"/>
    <n v="0.99810137972405522"/>
  </r>
  <r>
    <s v="morpho"/>
    <x v="61"/>
    <n v="1.9"/>
    <n v="-6.9964460628921921E-2"/>
    <n v="5.7377799999999999"/>
    <n v="-3.5161602546571928"/>
    <x v="1"/>
    <n v="1.9692416937539132"/>
    <n v="2.0156537794250973"/>
  </r>
  <r>
    <s v="usdtb"/>
    <x v="62"/>
    <n v="0.99926000000000004"/>
    <n v="7.3147164101177733E-4"/>
    <n v="1.034E-2"/>
    <n v="-8.9254343215381827E-3"/>
    <x v="1"/>
    <n v="0.9993491962561547"/>
    <n v="0.99936333416875311"/>
  </r>
  <r>
    <s v="kcs"/>
    <x v="63"/>
    <n v="8"/>
    <n v="0.20980787852562544"/>
    <n v="0.64693000000000001"/>
    <n v="-4.0416454085957367"/>
    <x v="0"/>
    <n v="8.336949955076264"/>
    <n v="8.0520913948607724"/>
  </r>
  <r>
    <s v="qnt"/>
    <x v="64"/>
    <n v="73.64"/>
    <n v="-9.0844698906063295E-2"/>
    <n v="1.5471900000000001"/>
    <n v="-4.6706862453354789"/>
    <x v="0"/>
    <n v="77.248012284570493"/>
    <n v="74.797255659843529"/>
  </r>
  <r>
    <s v="eutbl"/>
    <x v="65"/>
    <n v="1.22"/>
    <n v="5.9546031291903272E-2"/>
    <n v="0.35172999999999999"/>
    <n v="-0.64773590649508916"/>
    <x v="1"/>
    <n v="1.2279538983145897"/>
    <n v="1.2243062523815014"/>
  </r>
  <r>
    <s v="atom"/>
    <x v="66"/>
    <n v="2.06"/>
    <n v="-0.36321184248508648"/>
    <n v="2.6810700000000001"/>
    <n v="2.7892255445955718"/>
    <x v="1"/>
    <n v="2.0041011001744145"/>
    <n v="2.1167515919050897"/>
  </r>
  <r>
    <s v="algo"/>
    <x v="67"/>
    <n v="0.115578"/>
    <n v="3.4521222066742678E-2"/>
    <n v="1.29657"/>
    <n v="-1.1306691103516555"/>
    <x v="1"/>
    <n v="0.11689974935604734"/>
    <n v="0.11709623464959627"/>
  </r>
  <r>
    <s v="u"/>
    <x v="68"/>
    <n v="1"/>
    <n v="3.6520957212520331E-3"/>
    <n v="2.7009999999999999E-2"/>
    <n v="2.9818843530029011E-2"/>
    <x v="1"/>
    <n v="0.99970190045453666"/>
    <n v="1.0002701729737202"/>
  </r>
  <r>
    <s v="render"/>
    <x v="69"/>
    <n v="1.93"/>
    <n v="-1.536708769952134"/>
    <n v="3.1774300000000002"/>
    <n v="3.2769830750706395"/>
    <x v="1"/>
    <n v="1.8687610177352962"/>
    <n v="1.9933368841583115"/>
  </r>
  <r>
    <s v="jtrsy"/>
    <x v="70"/>
    <n v="1.1000000000000001"/>
    <n v="0"/>
    <n v="1.123E-2"/>
    <n v="8.1673351916064146E-2"/>
    <x v="1"/>
    <n v="1.0991023262891322"/>
    <n v="1.1001235438739771"/>
  </r>
  <r>
    <s v="ustb"/>
    <x v="71"/>
    <n v="11.09"/>
    <n v="0"/>
    <n v="9.6200000000000001E-3"/>
    <n v="6.6244584572892867E-2"/>
    <x v="0"/>
    <n v="11.082658339023681"/>
    <n v="11.091066960641614"/>
  </r>
  <r>
    <s v="pol"/>
    <x v="72"/>
    <n v="9.1508000000000006E-2"/>
    <n v="3.8823601440828505E-2"/>
    <n v="1.5019"/>
    <n v="-3.0048907592840153"/>
    <x v="1"/>
    <n v="9.4342901117727043E-2"/>
    <n v="9.2903314886276997E-2"/>
  </r>
  <r>
    <s v="bcap"/>
    <x v="73"/>
    <n v="105.74"/>
    <n v="0"/>
    <n v="0"/>
    <n v="-0.12279210352319792"/>
    <x v="0"/>
    <n v="105.87"/>
    <n v="105.74"/>
  </r>
  <r>
    <s v="ena"/>
    <x v="74"/>
    <n v="0.10625999999999999"/>
    <n v="-0.92173924283602915"/>
    <n v="0.46399000000000001"/>
    <n v="-8.896123708383346"/>
    <x v="1"/>
    <n v="0.11663609093851257"/>
    <n v="0.10675533407457261"/>
  </r>
  <r>
    <s v="kas"/>
    <x v="75"/>
    <n v="3.4611650000000001E-2"/>
    <n v="-1.2834753987679129E-2"/>
    <n v="1.4296800000000001"/>
    <n v="-6.3114970334573002"/>
    <x v="1"/>
    <n v="3.6943326986834488E-2"/>
    <n v="3.5113663017427556E-2"/>
  </r>
  <r>
    <s v="wld"/>
    <x v="76"/>
    <n v="0.26061099999999998"/>
    <n v="-1.3984860526017806"/>
    <n v="8.4536599999999993"/>
    <n v="1.293213257277972"/>
    <x v="1"/>
    <n v="0.25728377214973475"/>
    <n v="0.28467659111221699"/>
  </r>
  <r>
    <s v="nexo"/>
    <x v="77"/>
    <n v="0.87499899999999997"/>
    <n v="-3.8154939888950794E-2"/>
    <n v="-1.7375499999999999"/>
    <n v="-2.6357846277267436"/>
    <x v="1"/>
    <n v="0.8986864390109145"/>
    <n v="0.86005511239458787"/>
  </r>
  <r>
    <s v="stable"/>
    <x v="78"/>
    <n v="3.4954939999999997E-2"/>
    <n v="0.14167470231893425"/>
    <n v="1.4436500000000001"/>
    <n v="-11.232735821622622"/>
    <x v="1"/>
    <n v="3.9378187807791641E-2"/>
    <n v="3.5466958749994289E-2"/>
  </r>
  <r>
    <s v="jst"/>
    <x v="79"/>
    <n v="9.2516000000000001E-2"/>
    <n v="0.27689853311011403"/>
    <n v="-0.55352999999999997"/>
    <n v="4.4561859262116386"/>
    <x v="1"/>
    <n v="8.8569192125542234E-2"/>
    <n v="9.2006715229191849E-2"/>
  </r>
  <r>
    <s v="apt"/>
    <x v="80"/>
    <n v="0.95929299999999995"/>
    <n v="-0.93372226689195204"/>
    <n v="1.6013900000000001"/>
    <n v="-7.019568455126433"/>
    <x v="1"/>
    <n v="1.0317149362089513"/>
    <n v="0.97490503168693132"/>
  </r>
  <r>
    <s v="vvv"/>
    <x v="81"/>
    <n v="16.89"/>
    <n v="-5.6718009400309854E-2"/>
    <n v="-2.3229099999999998"/>
    <n v="22.03687715400676"/>
    <x v="0"/>
    <n v="13.840078830176346"/>
    <n v="16.506567297587608"/>
  </r>
  <r>
    <s v="fil"/>
    <x v="82"/>
    <n v="0.98548500000000006"/>
    <n v="-0.7649258471107746"/>
    <n v="3.1208200000000001"/>
    <n v="-5.4094864130691684"/>
    <x v="1"/>
    <n v="1.041843375862757"/>
    <n v="1.0172309468350167"/>
  </r>
  <r>
    <s v="gt"/>
    <x v="83"/>
    <n v="7.01"/>
    <n v="-0.93137384136615964"/>
    <n v="0.16386999999999999"/>
    <n v="-3.6393198685997072"/>
    <x v="0"/>
    <n v="7.2747514758519296"/>
    <n v="7.0215061421150837"/>
  </r>
  <r>
    <s v="flr"/>
    <x v="84"/>
    <n v="8.4871300000000007E-3"/>
    <n v="-0.28081130095493589"/>
    <n v="2.0306500000000001"/>
    <n v="-2.1574832681693898"/>
    <x v="1"/>
    <n v="8.6742760545108974E-3"/>
    <n v="8.6630461465754347E-3"/>
  </r>
  <r>
    <s v="xdc"/>
    <x v="85"/>
    <n v="3.5748380000000003E-2"/>
    <n v="-3.2478520796764006E-2"/>
    <n v="0.22980999999999999"/>
    <n v="8.2376586786797397"/>
    <x v="1"/>
    <n v="3.3027673026561497E-2"/>
    <n v="3.5830722583569299E-2"/>
  </r>
  <r>
    <s v="jup"/>
    <x v="86"/>
    <n v="0.21218899999999999"/>
    <n v="-1.3785026420975171"/>
    <n v="3.4136000000000002"/>
    <n v="-4.1658289097265229"/>
    <x v="1"/>
    <n v="0.22141267314778887"/>
    <n v="0.21968827909519351"/>
  </r>
  <r>
    <s v="arb"/>
    <x v="87"/>
    <n v="0.11032599999999999"/>
    <n v="-1.1177254384630504"/>
    <n v="-2.4925799999999998"/>
    <n v="-15.228825902003171"/>
    <x v="1"/>
    <n v="0.13014565525830912"/>
    <n v="0.10764291424803628"/>
  </r>
  <r>
    <s v="pump"/>
    <x v="88"/>
    <n v="1.7726700000000001E-3"/>
    <n v="-0.75974920005497459"/>
    <n v="3.70689"/>
    <n v="-4.2158166934426378"/>
    <x v="1"/>
    <n v="1.8506917726975531E-3"/>
    <n v="1.8409105282818261E-3"/>
  </r>
  <r>
    <s v="dexe"/>
    <x v="89"/>
    <n v="13.39"/>
    <n v="-1.4819695960968398"/>
    <n v="-4.5962100000000001"/>
    <n v="9.1321532709053184"/>
    <x v="0"/>
    <n v="12.269527906006948"/>
    <n v="12.801611071758721"/>
  </r>
  <r>
    <s v="dash"/>
    <x v="90"/>
    <n v="48.18"/>
    <n v="0.37147373851804905"/>
    <n v="3.3366099999999999"/>
    <n v="9.2307544775422112"/>
    <x v="0"/>
    <n v="44.108456661723224"/>
    <n v="49.843068818505124"/>
  </r>
  <r>
    <s v="bdx"/>
    <x v="91"/>
    <n v="7.8797000000000006E-2"/>
    <n v="-0.1827800413121955"/>
    <n v="-4.3470000000000002E-2"/>
    <n v="-0.14256689116433208"/>
    <x v="1"/>
    <n v="7.8909498819300039E-2"/>
    <n v="7.8762761827433622E-2"/>
  </r>
  <r>
    <s v="pengu"/>
    <x v="92"/>
    <n v="9.3138400000000003E-3"/>
    <n v="0.10685062857596712"/>
    <n v="5.4921699999999998"/>
    <n v="3.7381059626018862"/>
    <x v="1"/>
    <n v="8.978224456264592E-3"/>
    <n v="9.855098778587975E-3"/>
  </r>
  <r>
    <s v="gho"/>
    <x v="93"/>
    <n v="0.99903600000000004"/>
    <n v="1.0227157700040065E-2"/>
    <n v="9.6799999999999994E-3"/>
    <n v="-2.7486512004468867E-2"/>
    <x v="1"/>
    <n v="0.99931067564882425"/>
    <n v="0.99913271604691334"/>
  </r>
  <r>
    <s v="vet"/>
    <x v="94"/>
    <n v="6.5942500000000003E-3"/>
    <n v="-0.43788924434869664"/>
    <n v="0.25842999999999999"/>
    <n v="-8.8862103991739332"/>
    <x v="1"/>
    <n v="7.2373786985369939E-3"/>
    <n v="6.611335674784345E-3"/>
  </r>
  <r>
    <s v="ousg"/>
    <x v="95"/>
    <n v="115.31"/>
    <n v="0"/>
    <n v="9.1900000000000003E-3"/>
    <n v="6.6172595311753374E-2"/>
    <x v="0"/>
    <n v="115.23374683904161"/>
    <n v="115.3205979629528"/>
  </r>
  <r>
    <s v="usd0"/>
    <x v="96"/>
    <n v="0.99855000000000005"/>
    <n v="4.4487532887839989E-4"/>
    <n v="5.0619999999999998E-2"/>
    <n v="5.8494212316431975E-2"/>
    <x v="1"/>
    <n v="0.9979662475043386"/>
    <n v="0.99905572200647974"/>
  </r>
  <r>
    <s v="bonk"/>
    <x v="97"/>
    <n v="6.1600000000000003E-6"/>
    <n v="-0.53513109172105677"/>
    <n v="2.5339999999999998"/>
    <n v="-9.2711236175321154"/>
    <x v="1"/>
    <n v="6.7894591508358371E-6"/>
    <n v="6.3201526686229045E-6"/>
  </r>
  <r>
    <s v="kite"/>
    <x v="98"/>
    <n v="0.236182"/>
    <n v="-0.29263925232682847"/>
    <n v="2.7501799999999998"/>
    <n v="5.8203748195879621"/>
    <x v="1"/>
    <n v="0.22319142263733632"/>
    <n v="0.2428611178920434"/>
  </r>
  <r>
    <s v="hash"/>
    <x v="99"/>
    <n v="1.004557E-2"/>
    <n v="-6.1557530964273965"/>
    <n v="-4.2564500000000001"/>
    <n v="-4.5766535204846894"/>
    <x v="1"/>
    <n v="1.0527371309657956E-2"/>
    <n v="9.6354422196420469E-3"/>
  </r>
  <r>
    <s v="a7a5"/>
    <x v="100"/>
    <n v="1.299224E-2"/>
    <n v="0.74374329820953344"/>
    <n v="4.8166700000000002"/>
    <n v="0.75623263296258847"/>
    <x v="1"/>
    <n v="1.2894725875002164E-2"/>
    <n v="1.3649701055846649E-2"/>
  </r>
  <r>
    <s v="ylds"/>
    <x v="101"/>
    <n v="0.99986399999999998"/>
    <n v="5.8097547618077491E-3"/>
    <n v="1.2239999999999999E-2"/>
    <n v="1.4835584255099897E-2"/>
    <x v="1"/>
    <n v="0.999715686337042"/>
    <n v="0.99998639833515612"/>
  </r>
  <r>
    <s v="night"/>
    <x v="102"/>
    <n v="3.027649E-2"/>
    <n v="0.53323550554772248"/>
    <n v="-1.4766300000000001"/>
    <n v="-6.7427124026041891"/>
    <x v="1"/>
    <n v="3.2465548570003083E-2"/>
    <n v="2.9835923798415456E-2"/>
  </r>
  <r>
    <s v="tusd"/>
    <x v="103"/>
    <n v="0.99854200000000004"/>
    <n v="-8.5989128240925403E-2"/>
    <n v="-4.6580000000000003E-2"/>
    <n v="-0.10563502589927184"/>
    <x v="1"/>
    <n v="0.99959792552751969"/>
    <n v="0.99807709568882819"/>
  </r>
  <r>
    <s v="inj"/>
    <x v="104"/>
    <n v="4.93"/>
    <n v="-0.94066156139839119"/>
    <n v="-0.23676"/>
    <n v="-1.8249166526109768"/>
    <x v="1"/>
    <n v="5.0216407584349794"/>
    <n v="4.9183553019870159"/>
  </r>
  <r>
    <s v="apxusd"/>
    <x v="105"/>
    <n v="0.99967799999999996"/>
    <n v="3.1267460640867009E-3"/>
    <n v="7.9900000000000006E-3"/>
    <n v="-1.3009006591644962E-2"/>
    <x v="1"/>
    <n v="0.9998080650970923"/>
    <n v="0.99975788065466431"/>
  </r>
  <r>
    <s v="edge"/>
    <x v="106"/>
    <n v="1.38"/>
    <n v="0.85723729515254488"/>
    <n v="0.50178"/>
    <n v="1.396854929538426"/>
    <x v="1"/>
    <n v="1.3609889586407529"/>
    <n v="1.3869594853053651"/>
  </r>
  <r>
    <s v="trump"/>
    <x v="107"/>
    <n v="2.04"/>
    <n v="-0.80213476534117634"/>
    <n v="-0.16904"/>
    <n v="-13.813769668634448"/>
    <x v="1"/>
    <n v="2.366967428737381"/>
    <n v="2.0365574033653511"/>
  </r>
  <r>
    <s v="virtual"/>
    <x v="108"/>
    <n v="0.73280100000000004"/>
    <n v="-0.91518623852076797"/>
    <n v="1.76427"/>
    <n v="-4.6572740844001377"/>
    <x v="1"/>
    <n v="0.76859665272072952"/>
    <n v="0.74596177989413837"/>
  </r>
  <r>
    <s v="cake"/>
    <x v="109"/>
    <n v="1.45"/>
    <n v="4.1447496129224208E-2"/>
    <n v="2.7536999999999998"/>
    <n v="-4.5586737825745454"/>
    <x v="1"/>
    <n v="1.5192580169063727"/>
    <n v="1.4910592999425172"/>
  </r>
  <r>
    <s v="h"/>
    <x v="110"/>
    <n v="0.248942"/>
    <n v="-2.0648232511594364"/>
    <n v="2.8649"/>
    <n v="-2.3655724660467539"/>
    <x v="1"/>
    <n v="0.25497358492057343"/>
    <n v="0.2562842885836325"/>
  </r>
  <r>
    <s v="stx"/>
    <x v="111"/>
    <n v="0.24349899999999999"/>
    <n v="-0.38965096199466137"/>
    <n v="2.0144600000000001"/>
    <n v="-9.2811525963922445"/>
    <x v="1"/>
    <n v="0.26841059710191645"/>
    <n v="0.24850503451835851"/>
  </r>
  <r>
    <s v="chz"/>
    <x v="112"/>
    <n v="4.3249959999999997E-2"/>
    <n v="-1.1358438426370945"/>
    <n v="-7.3443399999999999"/>
    <n v="1.7245388111977915"/>
    <x v="1"/>
    <n v="4.2516742278156258E-2"/>
    <n v="4.0290862098551261E-2"/>
  </r>
  <r>
    <s v="币安人生"/>
    <x v="113"/>
    <n v="0.43762800000000002"/>
    <n v="0.41786221904224868"/>
    <n v="-0.85145000000000004"/>
    <n v="13.129260580405759"/>
    <x v="1"/>
    <n v="0.38683891130797171"/>
    <n v="0.43393327512891489"/>
  </r>
  <r>
    <s v="fet"/>
    <x v="114"/>
    <n v="0.19362299999999999"/>
    <n v="-1.2785764690005983"/>
    <n v="1.5843400000000001"/>
    <n v="-8.2902450202843294"/>
    <x v="1"/>
    <n v="0.21112585029021771"/>
    <n v="0.1967400310072604"/>
  </r>
  <r>
    <s v="eurc"/>
    <x v="115"/>
    <n v="1.1599999999999999"/>
    <n v="2.3664700818693984E-2"/>
    <n v="0.30115999999999998"/>
    <n v="-0.69619386757828416"/>
    <x v="1"/>
    <n v="1.1681324665976438"/>
    <n v="1.1635040086725181"/>
  </r>
  <r>
    <s v="jaaa"/>
    <x v="116"/>
    <n v="1.0349999999999999"/>
    <n v="0"/>
    <n v="7.92E-3"/>
    <n v="6.4771723179184532E-2"/>
    <x v="1"/>
    <n v="1.0343300466054535"/>
    <n v="1.0350819784926966"/>
  </r>
  <r>
    <s v="lunc"/>
    <x v="117"/>
    <n v="7.6660000000000001E-5"/>
    <n v="-0.47084749742235543"/>
    <n v="-0.44874999999999998"/>
    <n v="-6.4015324491412908"/>
    <x v="1"/>
    <n v="8.1903050344649245E-5"/>
    <n v="7.6317525106086442E-5"/>
  </r>
  <r>
    <s v="eursafo"/>
    <x v="118"/>
    <n v="1.17"/>
    <n v="5.9546031291912063E-2"/>
    <n v="0.35361999999999999"/>
    <n v="-0.67442482501248802"/>
    <x v="1"/>
    <n v="1.177944349115265"/>
    <n v="1.1741520364312281"/>
  </r>
  <r>
    <s v="sei"/>
    <x v="119"/>
    <n v="6.2087999999999997E-2"/>
    <n v="-0.56684600329461188"/>
    <n v="2.1103700000000001"/>
    <n v="-6.3570964510338115"/>
    <x v="1"/>
    <n v="6.630294197096738E-2"/>
    <n v="6.3426534557337683E-2"/>
  </r>
  <r>
    <s v="adi"/>
    <x v="120"/>
    <n v="3.88"/>
    <n v="4.6932999382679169E-2"/>
    <n v="0.31663000000000002"/>
    <n v="-3.5257451525254302"/>
    <x v="1"/>
    <n v="4.0217983607484351"/>
    <n v="3.8923242663244628"/>
  </r>
  <r>
    <s v="usx"/>
    <x v="121"/>
    <n v="0.99956999999999996"/>
    <n v="-2.2825705710728492E-2"/>
    <n v="1.243E-2"/>
    <n v="-2.1964573362665721E-2"/>
    <x v="1"/>
    <n v="0.99978959952005886"/>
    <n v="0.99969426199676614"/>
  </r>
  <r>
    <s v="aero"/>
    <x v="122"/>
    <n v="0.42183399999999999"/>
    <n v="-0.15854028913523016"/>
    <n v="2.6947700000000001"/>
    <n v="-8.5827582618479568"/>
    <x v="1"/>
    <n v="0.46143811821435859"/>
    <n v="0.43351626628907819"/>
  </r>
  <r>
    <s v="sun"/>
    <x v="123"/>
    <n v="2.0131980000000001E-2"/>
    <n v="9.6325534298319124E-2"/>
    <n v="1.97557"/>
    <n v="0.52114467459328628"/>
    <x v="1"/>
    <n v="2.0027607191672143E-2"/>
    <n v="2.0537716975247908E-2"/>
  </r>
  <r>
    <s v="2z"/>
    <x v="124"/>
    <n v="0.11056000000000001"/>
    <n v="-1.1516376048372927"/>
    <n v="18.121580000000002"/>
    <n v="5.5910979670554442"/>
    <x v="1"/>
    <n v="0.10470579634894495"/>
    <n v="0.13502947418868122"/>
  </r>
  <r>
    <s v="xtz"/>
    <x v="125"/>
    <n v="0.34807300000000002"/>
    <n v="-5.5739572009547003E-2"/>
    <n v="3.20601"/>
    <n v="-7.5705610687768541"/>
    <x v="1"/>
    <n v="0.37658240061264631"/>
    <n v="0.35960187197572913"/>
  </r>
  <r>
    <s v="fdusd"/>
    <x v="126"/>
    <n v="0.99834400000000001"/>
    <n v="3.1897769888207458E-2"/>
    <n v="6.3159999999999994E-2"/>
    <n v="4.5456217658799786E-2"/>
    <x v="1"/>
    <n v="0.9978903967692484"/>
    <n v="0.99897495258004954"/>
  </r>
  <r>
    <s v="siren"/>
    <x v="127"/>
    <n v="0.51069799999999999"/>
    <n v="-0.83747680478302855"/>
    <n v="-5.1326999999999998"/>
    <n v="-8.5946928314079685"/>
    <x v="1"/>
    <n v="0.55871810491052321"/>
    <n v="0.48576513301760538"/>
  </r>
  <r>
    <s v="tia"/>
    <x v="128"/>
    <n v="0.402478"/>
    <n v="-1.0742652871668881"/>
    <n v="0.38993"/>
    <n v="-10.773765529098862"/>
    <x v="1"/>
    <n v="0.45107585497318942"/>
    <n v="0.40405352591359489"/>
  </r>
  <r>
    <s v="nex"/>
    <x v="129"/>
    <n v="6.0499999999999997E-6"/>
    <n v="-4.7070535088897936"/>
    <n v="44.260750000000002"/>
    <m/>
    <x v="1"/>
    <n v="6.0499999999999997E-6"/>
    <n v="1.0854110882367452E-5"/>
  </r>
  <r>
    <s v="spx"/>
    <x v="130"/>
    <n v="0.38855800000000001"/>
    <n v="-2.3028339129458826"/>
    <n v="4.0667900000000001"/>
    <n v="-6.3669849144861486"/>
    <x v="1"/>
    <n v="0.4149796945501914"/>
    <n v="0.40502970764764362"/>
  </r>
  <r>
    <s v="crv"/>
    <x v="131"/>
    <n v="0.23450799999999999"/>
    <n v="-0.81519762586690392"/>
    <n v="-1.0245599999999999"/>
    <n v="-11.845152085276656"/>
    <x v="1"/>
    <n v="0.26601826847554827"/>
    <n v="0.23212969202736444"/>
  </r>
  <r>
    <s v="lit"/>
    <x v="132"/>
    <n v="1.42"/>
    <n v="3.0246675251777844"/>
    <n v="18.801600000000001"/>
    <n v="59.317000667836965"/>
    <x v="1"/>
    <n v="0.89130475344598337"/>
    <n v="1.7488029320774792"/>
  </r>
  <r>
    <s v="zro"/>
    <x v="133"/>
    <n v="1.38"/>
    <n v="-0.28837439042785062"/>
    <n v="2.7849499999999998"/>
    <n v="-1.6269764424295274"/>
    <x v="1"/>
    <n v="1.4028236096579747"/>
    <n v="1.4195332924274584"/>
  </r>
  <r>
    <s v="kau"/>
    <x v="134"/>
    <n v="144.13"/>
    <n v="-2.8582104671558547E-3"/>
    <n v="0.59263999999999994"/>
    <n v="-5.1785984029551404"/>
    <x v="0"/>
    <n v="152.00154983207065"/>
    <n v="144.98926437640029"/>
  </r>
  <r>
    <s v="skyai"/>
    <x v="135"/>
    <n v="0.34193800000000002"/>
    <n v="-0.58887890381040819"/>
    <n v="6.5104600000000001"/>
    <n v="-8.7695096850001288"/>
    <x v="1"/>
    <n v="0.37480671080398603"/>
    <n v="0.36575000796880591"/>
  </r>
  <r>
    <s v="ethfi"/>
    <x v="136"/>
    <n v="0.38308399999999998"/>
    <n v="-0.57606204052743182"/>
    <n v="1.26953"/>
    <n v="-14.212334579290792"/>
    <x v="1"/>
    <n v="0.44654904422602831"/>
    <n v="0.38800990211026037"/>
  </r>
  <r>
    <s v="lab"/>
    <x v="137"/>
    <n v="4.3899999999999997"/>
    <n v="-2.8118704607825489E-2"/>
    <n v="6.68072"/>
    <n v="-19.852966232672596"/>
    <x v="1"/>
    <n v="5.4774329050585768"/>
    <n v="4.704279758695094"/>
  </r>
  <r>
    <s v="usdgo"/>
    <x v="138"/>
    <n v="0.99989499999999998"/>
    <n v="1.4221386783271795E-2"/>
    <n v="3.98E-3"/>
    <n v="1.7999601673864142E-2"/>
    <x v="1"/>
    <n v="0.99971505527217741"/>
    <n v="0.99993479740493674"/>
  </r>
  <r>
    <s v="pyth"/>
    <x v="139"/>
    <n v="4.1979330000000002E-2"/>
    <n v="-0.21228335426243777"/>
    <n v="3.4300099999999998"/>
    <n v="-16.762223293820089"/>
    <x v="1"/>
    <n v="5.0433026518935463E-2"/>
    <n v="4.3470367968351249E-2"/>
  </r>
  <r>
    <s v="9bit"/>
    <x v="140"/>
    <n v="3.9454759999999998E-2"/>
    <n v="-2.2418454740153838E-2"/>
    <n v="-0.53420000000000001"/>
    <n v="50.638513123721992"/>
    <x v="1"/>
    <n v="2.6191681782994716E-2"/>
    <n v="3.9245112608445681E-2"/>
  </r>
  <r>
    <s v="mon"/>
    <x v="141"/>
    <n v="2.7296379999999999E-2"/>
    <n v="-1.1465244661153251"/>
    <n v="3.7958699999999999"/>
    <n v="-8.6853530736421334"/>
    <x v="1"/>
    <n v="2.9892663355544257E-2"/>
    <n v="2.8373397275148166E-2"/>
  </r>
  <r>
    <s v="btt"/>
    <x v="142"/>
    <n v="3.2307699999999998E-7"/>
    <n v="-0.14271893347297124"/>
    <n v="0.52371000000000001"/>
    <n v="-1.0899312208431138"/>
    <x v="1"/>
    <n v="3.2663711994918893E-7"/>
    <n v="3.2477789431029243E-7"/>
  </r>
  <r>
    <s v="pendle"/>
    <x v="143"/>
    <n v="1.84"/>
    <n v="-1.0454899598452905"/>
    <n v="4.6445100000000004"/>
    <n v="-7.1445817932159583"/>
    <x v="1"/>
    <n v="1.9815752656483854"/>
    <n v="1.9296214617532772"/>
  </r>
  <r>
    <s v="gno"/>
    <x v="144"/>
    <n v="118.67"/>
    <n v="-0.34598260317002993"/>
    <n v="0.18432999999999999"/>
    <n v="-6.5532931970090704"/>
    <x v="0"/>
    <n v="126.99216918386016"/>
    <n v="118.88914836718523"/>
  </r>
  <r>
    <s v="kaia"/>
    <x v="145"/>
    <n v="5.2684000000000002E-2"/>
    <n v="1.1304244275461957"/>
    <n v="2.7868599999999999"/>
    <n v="10.006767595255427"/>
    <x v="1"/>
    <n v="4.7891598991289926E-2"/>
    <n v="5.4194319821373946E-2"/>
  </r>
  <r>
    <s v="prime"/>
    <x v="146"/>
    <n v="1.0389999999999999"/>
    <n v="3.6413312387483326E-2"/>
    <n v="4.2520000000000002E-2"/>
    <n v="0.17854974146975278"/>
    <x v="1"/>
    <n v="1.0371481746155655"/>
    <n v="1.0394419707259526"/>
  </r>
  <r>
    <s v="ldo"/>
    <x v="147"/>
    <n v="0.358068"/>
    <n v="-0.99276731782324401"/>
    <n v="0.12653"/>
    <n v="-6.2938872758589577"/>
    <x v="1"/>
    <n v="0.38211808129754238"/>
    <n v="0.35852163742783744"/>
  </r>
  <r>
    <s v="dcr"/>
    <x v="148"/>
    <n v="17.489999999999998"/>
    <n v="0.64918931790000312"/>
    <n v="3.3765800000000001"/>
    <n v="-6.1461130692192745"/>
    <x v="0"/>
    <n v="18.635349661010046"/>
    <n v="18.10120155134231"/>
  </r>
  <r>
    <s v="bsv"/>
    <x v="149"/>
    <n v="15.02"/>
    <n v="-0.22060077502847475"/>
    <n v="-5.7029999999999997E-2"/>
    <n v="-9.9458941707521316"/>
    <x v="0"/>
    <n v="16.678861959364198"/>
    <n v="15.011438976351787"/>
  </r>
  <r>
    <s v="b"/>
    <x v="150"/>
    <n v="0.29928100000000002"/>
    <n v="-2.5331040002473739"/>
    <n v="-15.039339999999999"/>
    <n v="-37.878334906632929"/>
    <x v="1"/>
    <n v="0.48176590171913342"/>
    <n v="0.26015535207347329"/>
  </r>
  <r>
    <s v="cfx"/>
    <x v="151"/>
    <n v="5.7339000000000001E-2"/>
    <n v="-0.62099615639521411"/>
    <n v="-1.03667"/>
    <n v="-17.662348097408643"/>
    <x v="1"/>
    <n v="6.9638857406128449E-2"/>
    <n v="5.6750682697677982E-2"/>
  </r>
  <r>
    <s v="tel"/>
    <x v="152"/>
    <n v="3.0936399999999999E-3"/>
    <n v="-1.566869469016164"/>
    <n v="0.97435000000000005"/>
    <n v="7.0935045318689358"/>
    <x v="1"/>
    <n v="2.8887279518239996E-3"/>
    <n v="3.1240794682993751E-3"/>
  </r>
  <r>
    <s v="floki"/>
    <x v="153"/>
    <n v="3.0530000000000001E-5"/>
    <n v="-0.87382045024721045"/>
    <n v="0.48065999999999998"/>
    <n v="-11.261974898690736"/>
    <x v="1"/>
    <n v="3.4404642164556751E-5"/>
    <n v="3.067745425160577E-5"/>
  </r>
  <r>
    <s v="zbcn"/>
    <x v="154"/>
    <n v="3.0067100000000001E-3"/>
    <n v="-0.76295536920603702"/>
    <n v="5.5182799999999999"/>
    <n v="-12.205380530654317"/>
    <x v="1"/>
    <n v="3.4247087329193574E-3"/>
    <n v="3.1823192888529124E-3"/>
  </r>
  <r>
    <s v="usdai"/>
    <x v="155"/>
    <n v="1.0009999999999999"/>
    <n v="0.21034617415088672"/>
    <n v="3.388E-2"/>
    <n v="0.11429374486665274"/>
    <x v="1"/>
    <n v="0.99985722573338942"/>
    <n v="1.0013392537391668"/>
  </r>
  <r>
    <s v="jasmy"/>
    <x v="156"/>
    <n v="5.7455800000000001E-3"/>
    <n v="0.51490637960545893"/>
    <n v="1.5097400000000001"/>
    <n v="-10.697854003804467"/>
    <x v="1"/>
    <n v="6.433865542542252E-3"/>
    <n v="5.8336529926918661E-3"/>
  </r>
  <r>
    <s v="ohm"/>
    <x v="157"/>
    <n v="18.95"/>
    <n v="-0.3268767367031214"/>
    <n v="0.39419999999999999"/>
    <n v="-2.9082326279936401"/>
    <x v="0"/>
    <n v="19.517617726941999"/>
    <n v="19.024996536346276"/>
  </r>
  <r>
    <s v="kag"/>
    <x v="158"/>
    <n v="75.13"/>
    <n v="0.10604256576576972"/>
    <n v="-0.33883999999999997"/>
    <n v="-14.245363147709414"/>
    <x v="0"/>
    <n v="87.610422896908574"/>
    <n v="74.876289181736595"/>
  </r>
  <r>
    <s v="nft"/>
    <x v="159"/>
    <n v="2.8398599999999999E-7"/>
    <n v="-1.1642310509314393"/>
    <n v="0.20669999999999999"/>
    <n v="-6.1047753860788738"/>
    <x v="1"/>
    <n v="3.0244988620847876E-7"/>
    <n v="2.8457421490220285E-7"/>
  </r>
  <r>
    <s v="strk"/>
    <x v="160"/>
    <n v="4.4382959999999999E-2"/>
    <n v="0.20048364614252021"/>
    <n v="4.7800099999999999"/>
    <n v="-3.2606585606958194"/>
    <x v="1"/>
    <n v="4.5878914761732774E-2"/>
    <n v="4.6610968978257609E-2"/>
  </r>
  <r>
    <s v="op"/>
    <x v="161"/>
    <n v="0.129576"/>
    <n v="-0.4436143850960757"/>
    <n v="1.76119"/>
    <n v="-11.350403958743991"/>
    <x v="1"/>
    <n v="0.14616648669182603"/>
    <n v="0.13189899185464482"/>
  </r>
  <r>
    <s v="grt"/>
    <x v="162"/>
    <n v="2.54243E-2"/>
    <n v="-0.91393210402664038"/>
    <n v="1.8640000000000001"/>
    <n v="-8.6517544593618911"/>
    <x v="1"/>
    <n v="2.7832280575864468E-2"/>
    <n v="2.5907210401891253E-2"/>
  </r>
  <r>
    <s v="frax"/>
    <x v="163"/>
    <n v="0.99280000000000002"/>
    <n v="-3.0696287601369623E-2"/>
    <n v="4.1509999999999998E-2"/>
    <n v="-0.102892882369164"/>
    <x v="1"/>
    <n v="0.99382257269067686"/>
    <n v="0.99321228241843196"/>
  </r>
  <r>
    <s v="gwei"/>
    <x v="164"/>
    <n v="0.124293"/>
    <n v="-0.66415224522006822"/>
    <n v="-4.2963399999999998"/>
    <n v="-3.2959189944189551"/>
    <x v="1"/>
    <n v="0.12852921894043617"/>
    <n v="0.11917292591475405"/>
  </r>
  <r>
    <s v="ens"/>
    <x v="165"/>
    <n v="6.31"/>
    <n v="-0.40392273980911308"/>
    <n v="1.02474"/>
    <n v="-8.5493844588959327"/>
    <x v="0"/>
    <n v="6.8998988827624244"/>
    <n v="6.3753305624051908"/>
  </r>
  <r>
    <s v="ub"/>
    <x v="166"/>
    <n v="0.101539"/>
    <n v="-2.2438954959968607"/>
    <n v="-18.73434"/>
    <n v="-50.862414168605994"/>
    <x v="1"/>
    <n v="0.20664222362981199"/>
    <n v="8.5517803863650571E-2"/>
  </r>
  <r>
    <s v="iota"/>
    <x v="167"/>
    <n v="5.6327000000000002E-2"/>
    <n v="-0.43209859983376631"/>
    <n v="0.40656999999999999"/>
    <n v="-6.207528963308147"/>
    <x v="1"/>
    <n v="6.0054926986585884E-2"/>
    <n v="5.6556943565454064E-2"/>
  </r>
  <r>
    <s v="rusd"/>
    <x v="168"/>
    <n v="0.99952300000000005"/>
    <n v="-2.481104511874424E-2"/>
    <n v="-9.9699999999999997E-3"/>
    <n v="-1.3818904547403223E-2"/>
    <x v="1"/>
    <n v="0.99966114221904079"/>
    <n v="0.9994233574912581"/>
  </r>
  <r>
    <s v="usdm"/>
    <x v="169"/>
    <n v="0.99802999999999997"/>
    <n v="-0.12642839999330224"/>
    <n v="-1.384E-2"/>
    <n v="-0.24888000344354305"/>
    <x v="1"/>
    <n v="1.0005200944455093"/>
    <n v="0.99789189176218007"/>
  </r>
  <r>
    <s v="apepe"/>
    <x v="170"/>
    <n v="1.1400000000000001E-6"/>
    <n v="-0.26114304249148512"/>
    <n v="3.4689999999999999E-2"/>
    <n v="-7.4808556173684577"/>
    <x v="1"/>
    <n v="1.2321774132338499E-6"/>
    <n v="1.1403956032347623E-6"/>
  </r>
  <r>
    <s v="jto"/>
    <x v="171"/>
    <n v="0.49956499999999998"/>
    <n v="-2.6858335023109459"/>
    <n v="15.31457"/>
    <n v="1.1813689464871238"/>
    <x v="1"/>
    <n v="0.4937322010974276"/>
    <n v="0.58990666989587226"/>
  </r>
  <r>
    <s v="syrup"/>
    <x v="172"/>
    <n v="0.20146600000000001"/>
    <n v="0.89722200769105975"/>
    <n v="-4.54087"/>
    <n v="-13.146690994478416"/>
    <x v="1"/>
    <n v="0.23196122555007326"/>
    <n v="0.19271505966996447"/>
  </r>
  <r>
    <s v="real"/>
    <x v="173"/>
    <n v="7.1777999999999995E-2"/>
    <n v="-0.30284271484074793"/>
    <n v="1.11951"/>
    <n v="-5.4279615468585494"/>
    <x v="1"/>
    <n v="7.5897697854492754E-2"/>
    <n v="7.2590659694344153E-2"/>
  </r>
  <r>
    <s v="akt"/>
    <x v="174"/>
    <n v="0.77480099999999996"/>
    <n v="-1.024241013953004"/>
    <n v="1.13148"/>
    <n v="-3.6286971212036208"/>
    <x v="1"/>
    <n v="0.80397481081525535"/>
    <n v="0.78366804722069261"/>
  </r>
  <r>
    <s v="crvusd"/>
    <x v="175"/>
    <n v="0.99920299999999995"/>
    <n v="-2.853099403055992E-2"/>
    <n v="2.0559999999999998E-2"/>
    <n v="-3.9360063969295839E-2"/>
    <x v="1"/>
    <n v="0.99959644179892682"/>
    <n v="0.99940847838315561"/>
  </r>
  <r>
    <s v="comp"/>
    <x v="176"/>
    <n v="22.65"/>
    <n v="-0.99654263582428237"/>
    <n v="-0.27915000000000001"/>
    <n v="5.8084946925981366E-2"/>
    <x v="0"/>
    <n v="22.636851396880406"/>
    <n v="22.586948533169654"/>
  </r>
  <r>
    <s v="xpl"/>
    <x v="177"/>
    <n v="8.7041999999999994E-2"/>
    <n v="-0.47675133310394902"/>
    <n v="4.1123399999999997"/>
    <n v="-7.4191204741183556"/>
    <x v="1"/>
    <n v="9.4017253287885197E-2"/>
    <n v="9.0774975632943802E-2"/>
  </r>
  <r>
    <s v="usda"/>
    <x v="178"/>
    <n v="0.98303700000000005"/>
    <m/>
    <m/>
    <n v="-4.7730769083253341E-2"/>
    <x v="1"/>
    <n v="0.98350643518549741"/>
    <n v="0.98303700000000005"/>
  </r>
  <r>
    <s v="ff"/>
    <x v="179"/>
    <n v="9.035E-2"/>
    <n v="-8.1519674093067152E-2"/>
    <n v="2.7307199999999998"/>
    <n v="13.139190647468006"/>
    <x v="1"/>
    <n v="7.9857385829745622E-2"/>
    <n v="9.2886469397121058E-2"/>
  </r>
  <r>
    <s v="axs"/>
    <x v="180"/>
    <n v="1.2"/>
    <n v="-0.42772206487220499"/>
    <n v="0.2586"/>
    <n v="-4.5043337213582637"/>
    <x v="1"/>
    <n v="1.2566015262918673"/>
    <n v="1.2031112456813318"/>
  </r>
  <r>
    <s v="bsb"/>
    <x v="181"/>
    <n v="0.93042400000000003"/>
    <n v="-0.79547780202328666"/>
    <n v="15.293100000000001"/>
    <n v="129.29528660678614"/>
    <x v="1"/>
    <n v="0.40577545826119193"/>
    <n v="1.0984040261182975"/>
  </r>
  <r>
    <s v="ray"/>
    <x v="182"/>
    <n v="0.76845799999999997"/>
    <n v="-0.90660798781897445"/>
    <n v="3.5968499999999999"/>
    <n v="-1.0844685199332689"/>
    <x v="1"/>
    <n v="0.77688305213712383"/>
    <n v="0.7971295543765945"/>
  </r>
  <r>
    <s v="neo"/>
    <x v="183"/>
    <n v="2.89"/>
    <n v="-0.16260815431483883"/>
    <n v="1.1685099999999999"/>
    <n v="-7.2877599562878173"/>
    <x v="1"/>
    <n v="3.1171720137895669"/>
    <n v="2.9241692096314646"/>
  </r>
  <r>
    <s v="grass"/>
    <x v="184"/>
    <n v="0.34782600000000002"/>
    <n v="-0.5038008278453715"/>
    <n v="16.126799999999999"/>
    <n v="5.0957629691004964"/>
    <x v="1"/>
    <n v="0.33096101134188"/>
    <n v="0.41470457786277382"/>
  </r>
  <r>
    <s v="theta"/>
    <x v="185"/>
    <n v="0.203241"/>
    <n v="-0.87453888258106072"/>
    <n v="2.0936900000000001"/>
    <n v="-7.6419899559162312"/>
    <x v="1"/>
    <n v="0.22005779455727795"/>
    <n v="0.20758723314156158"/>
  </r>
  <r>
    <s v="pc0000031"/>
    <x v="186"/>
    <n v="1"/>
    <n v="0"/>
    <n v="0"/>
    <n v="0"/>
    <x v="1"/>
    <n v="1"/>
    <n v="1"/>
  </r>
  <r>
    <s v="pieverse"/>
    <x v="187"/>
    <n v="0.74696399999999996"/>
    <n v="0.57632346678547186"/>
    <n v="2.0979000000000001"/>
    <n v="-28.694899713132511"/>
    <x v="1"/>
    <n v="1.0475604087153509"/>
    <n v="0.76297035507920663"/>
  </r>
  <r>
    <s v="bill"/>
    <x v="188"/>
    <n v="8.1731999999999999E-2"/>
    <n v="2.053190169349949"/>
    <n v="-27.224499999999999"/>
    <n v="-51.941091670988307"/>
    <x v="1"/>
    <n v="0.17006628498604678"/>
    <n v="6.4242343259356488E-2"/>
  </r>
  <r>
    <s v="wif"/>
    <x v="189"/>
    <n v="0.19622300000000001"/>
    <n v="-0.53044355158678147"/>
    <n v="1.8666"/>
    <n v="-9.0071225599279394"/>
    <x v="1"/>
    <n v="0.21564654896118934"/>
    <n v="0.19995536687814749"/>
  </r>
  <r>
    <s v="trac"/>
    <x v="190"/>
    <n v="0.439969"/>
    <n v="-3.6650378254042031"/>
    <n v="-0.79961000000000004"/>
    <n v="29.372409048940156"/>
    <x v="1"/>
    <n v="0.34007946766575597"/>
    <n v="0.43647887129722029"/>
  </r>
  <r>
    <s v="sand"/>
    <x v="191"/>
    <n v="7.2418999999999997E-2"/>
    <n v="-0.38325574458021366"/>
    <n v="1.44208"/>
    <n v="-6.1037682714714938"/>
    <x v="1"/>
    <n v="7.7126630820901113E-2"/>
    <n v="7.3478620490367491E-2"/>
  </r>
  <r>
    <s v="twt"/>
    <x v="192"/>
    <n v="0.46341100000000002"/>
    <n v="-1.0515680697051739"/>
    <n v="0.45784999999999998"/>
    <n v="-8.0751598844182162"/>
    <x v="1"/>
    <n v="0.50411945173614636"/>
    <n v="0.46554248627340283"/>
  </r>
  <r>
    <s v="fartcoin"/>
    <x v="193"/>
    <n v="0.19168399999999999"/>
    <n v="-1.0280060505233499"/>
    <n v="3.6236999999999999"/>
    <n v="-10.506516801921236"/>
    <x v="1"/>
    <n v="0.21418766277734405"/>
    <n v="0.19889122118197108"/>
  </r>
  <r>
    <s v="uds"/>
    <x v="194"/>
    <n v="1.51"/>
    <n v="-7.0580783258457416E-2"/>
    <n v="-0.75931999999999999"/>
    <n v="-2.0933953161405063"/>
    <x v="1"/>
    <n v="1.5422861459406045"/>
    <n v="1.4986206735019647"/>
  </r>
  <r>
    <s v="btse"/>
    <x v="195"/>
    <n v="1.1499999999999999"/>
    <n v="-0.48562761328483611"/>
    <n v="1.96709"/>
    <n v="6.1040954573879143"/>
    <x v="1"/>
    <n v="1.0838412928762466"/>
    <n v="1.1730754498667846"/>
  </r>
  <r>
    <s v="xcn"/>
    <x v="196"/>
    <n v="4.7894599999999997E-3"/>
    <n v="-8.0085619634541722E-2"/>
    <n v="0.52346000000000004"/>
    <n v="-4.2133778240596405"/>
    <x v="1"/>
    <n v="5.0001345607560361E-3"/>
    <n v="4.8146628340712287E-3"/>
  </r>
  <r>
    <s v="reusd"/>
    <x v="197"/>
    <n v="1.079"/>
    <n v="3.9852367650472558E-4"/>
    <n v="2.6919999999999999E-2"/>
    <n v="0.19969443738751713"/>
    <x v="1"/>
    <n v="1.0768495912672091"/>
    <n v="1.0792905450147179"/>
  </r>
  <r>
    <s v="apyusd"/>
    <x v="198"/>
    <n v="1.36"/>
    <n v="-9.2043837236484405E-2"/>
    <n v="6.0470000000000003E-2"/>
    <n v="0.2432015043838093"/>
    <x v="1"/>
    <n v="1.3567004840128982"/>
    <n v="1.3608228896013421"/>
  </r>
  <r>
    <s v="onyc"/>
    <x v="199"/>
    <n v="1.1000000000000001"/>
    <n v="1.199410326652639E-2"/>
    <n v="-1.5769999999999999E-2"/>
    <n v="0.16971880334998318"/>
    <x v="1"/>
    <n v="1.0981362562866779"/>
    <n v="1.099826557351905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btc"/>
    <x v="0"/>
    <n v="77625"/>
    <n v="-0.26998955724195595"/>
    <n v="0.27544999999999997"/>
    <n v="-2.7081622791946165"/>
    <x v="0"/>
    <n v="1.0845339454788574"/>
  </r>
  <r>
    <s v="eth"/>
    <x v="1"/>
    <n v="2127.3200000000002"/>
    <n v="-0.35164690734941828"/>
    <n v="-2.0459999999999999E-2"/>
    <n v="-6.0984806126137565"/>
    <x v="0"/>
    <n v="2.1568625066543916"/>
  </r>
  <r>
    <s v="usdt"/>
    <x v="2"/>
    <n v="0.99902000000000002"/>
    <n v="-1.9520477448468752E-4"/>
    <n v="1.1050000000000001E-2"/>
    <n v="-4.4205563985474129E-2"/>
    <x v="1"/>
    <n v="1.848358958665294E-2"/>
  </r>
  <r>
    <s v="bnb"/>
    <x v="3"/>
    <n v="652.91"/>
    <n v="-0.19746184012934381"/>
    <n v="1.47464"/>
    <n v="-2.9628913906440819"/>
    <x v="0"/>
    <n v="1.5449977435911419"/>
  </r>
  <r>
    <s v="xrp"/>
    <x v="4"/>
    <n v="1.37"/>
    <n v="-0.3644693030301106"/>
    <n v="0.25681999999999999"/>
    <n v="-4.1430433482969358"/>
    <x v="1"/>
    <n v="1.5881108837756821"/>
  </r>
  <r>
    <s v="usdc"/>
    <x v="5"/>
    <n v="0.99968699999999999"/>
    <n v="-5.64363787272031E-4"/>
    <n v="-3.7499999999999999E-3"/>
    <n v="-1.6003052324647926E-3"/>
    <x v="1"/>
    <n v="1.9715563399122743E-3"/>
  </r>
  <r>
    <s v="sol"/>
    <x v="6"/>
    <n v="86.45"/>
    <n v="-0.31254002498921779"/>
    <n v="1.8313600000000001"/>
    <n v="-5.0537460497648681"/>
    <x v="0"/>
    <n v="2.3992153582513622"/>
  </r>
  <r>
    <s v="trx"/>
    <x v="7"/>
    <n v="0.36092299999999999"/>
    <n v="0.39567427417631823"/>
    <n v="1.20871"/>
    <n v="2.6047322055623945"/>
    <x v="2"/>
    <n v="1.4030388265795708"/>
  </r>
  <r>
    <s v="figr_heloc"/>
    <x v="8"/>
    <n v="1.0349999999999999"/>
    <m/>
    <n v="0.28842000000000001"/>
    <n v="0.15266824030407483"/>
    <x v="1"/>
    <n v="0.14702941343469161"/>
  </r>
  <r>
    <s v="doge"/>
    <x v="9"/>
    <n v="0.10519299999999999"/>
    <n v="-0.46872006955437379"/>
    <n v="1.5492300000000001"/>
    <n v="-7.7199288742425418"/>
    <x v="2"/>
    <n v="3.2459596479323047"/>
  </r>
  <r>
    <s v="hype"/>
    <x v="10"/>
    <n v="58.51"/>
    <n v="-1.3318135406100259E-2"/>
    <n v="19.842790000000001"/>
    <n v="49.695164804451998"/>
    <x v="0"/>
    <n v="23.183757646619366"/>
  </r>
  <r>
    <s v="wbt"/>
    <x v="11"/>
    <n v="57.18"/>
    <n v="-0.24685902293482925"/>
    <n v="8.9389999999999997E-2"/>
    <n v="-2.6285246538914002"/>
    <x v="0"/>
    <n v="0.98825789227540983"/>
  </r>
  <r>
    <s v="zec"/>
    <x v="12"/>
    <n v="665.49"/>
    <n v="-9.4046672616777696E-2"/>
    <n v="13.32569"/>
    <n v="26.535394257960355"/>
    <x v="0"/>
    <n v="13.318376976859044"/>
  </r>
  <r>
    <s v="usds"/>
    <x v="13"/>
    <n v="0.99964600000000003"/>
    <n v="2.6770289844031442E-3"/>
    <n v="5.0600000000000003E-3"/>
    <n v="-2.4320300565846963E-2"/>
    <x v="1"/>
    <n v="1.0685776516750034E-2"/>
  </r>
  <r>
    <s v="leo"/>
    <x v="14"/>
    <n v="10.06"/>
    <n v="-0.23917070692341913"/>
    <n v="0.19786000000000001"/>
    <n v="-0.71973090489243552"/>
    <x v="3"/>
    <n v="0.38558720393861828"/>
  </r>
  <r>
    <s v="ada"/>
    <x v="15"/>
    <n v="0.24875900000000001"/>
    <n v="-0.29343451903324225"/>
    <n v="-0.13300000000000001"/>
    <n v="-6.1145290019070497"/>
    <x v="2"/>
    <n v="2.1803211736467643"/>
  </r>
  <r>
    <s v="bch"/>
    <x v="16"/>
    <n v="376.18"/>
    <n v="-0.17884023367537646"/>
    <n v="1.87476"/>
    <n v="-13.292683780606673"/>
    <x v="0"/>
    <n v="5.115428004760683"/>
  </r>
  <r>
    <s v="xmr"/>
    <x v="17"/>
    <n v="402.63"/>
    <n v="-0.35748960128909968"/>
    <n v="1.17431"/>
    <n v="1.9649242091725676"/>
    <x v="0"/>
    <n v="1.1655746034872225"/>
  </r>
  <r>
    <s v="link"/>
    <x v="18"/>
    <n v="9.6199999999999992"/>
    <n v="-0.76263507813969977"/>
    <n v="0.27684999999999998"/>
    <n v="-6.3668807713147046"/>
    <x v="3"/>
    <n v="2.4687886164848014"/>
  </r>
  <r>
    <s v="cc"/>
    <x v="19"/>
    <n v="0.15551100000000001"/>
    <n v="0.90759973187467158"/>
    <n v="4.1122899999999998"/>
    <n v="-1.4206524132835012"/>
    <x v="2"/>
    <n v="2.1468473817193909"/>
  </r>
  <r>
    <s v="ton"/>
    <x v="20"/>
    <n v="2.04"/>
    <n v="-0.84319713447796596"/>
    <n v="4.1837299999999997"/>
    <n v="-4.1933967248617057"/>
    <x v="1"/>
    <n v="3.0734412864465575"/>
  </r>
  <r>
    <s v="xlm"/>
    <x v="21"/>
    <n v="0.144819"/>
    <n v="-0.58548653793091465"/>
    <n v="1.5304199999999999"/>
    <n v="-9.0729778300134019"/>
    <x v="2"/>
    <n v="3.7296281226481054"/>
  </r>
  <r>
    <s v="usd1"/>
    <x v="22"/>
    <n v="0.99992000000000003"/>
    <n v="1.1011117154098476E-3"/>
    <n v="3.0000000000000001E-5"/>
    <n v="5.9678160215982982E-2"/>
    <x v="1"/>
    <n v="2.0269757310464275E-2"/>
  </r>
  <r>
    <s v="usde"/>
    <x v="23"/>
    <n v="0.99930799999999997"/>
    <n v="-2.3653087844086539E-3"/>
    <n v="-1.5900000000000001E-2"/>
    <n v="-9.3638872835028919E-2"/>
    <x v="1"/>
    <n v="3.7301393873145856E-2"/>
  </r>
  <r>
    <s v="sui"/>
    <x v="24"/>
    <n v="1.1100000000000001"/>
    <n v="-1.5169068696385468"/>
    <n v="4.5434099999999997"/>
    <n v="-7.1601519320704128"/>
    <x v="1"/>
    <n v="4.4068229339029861"/>
  </r>
  <r>
    <s v="dai"/>
    <x v="25"/>
    <n v="0.99981900000000001"/>
    <n v="8.3625673943511487E-4"/>
    <n v="1.8280000000000001E-2"/>
    <n v="2.9514382424712448E-2"/>
    <x v="1"/>
    <n v="1.6210213054715854E-2"/>
  </r>
  <r>
    <s v="ltc"/>
    <x v="26"/>
    <n v="54.03"/>
    <n v="-0.62285887553227504"/>
    <n v="-9.3060000000000004E-2"/>
    <n v="-5.3993416501327403"/>
    <x v="0"/>
    <n v="2.0384201752216717"/>
  </r>
  <r>
    <s v="avax"/>
    <x v="27"/>
    <n v="9.4"/>
    <n v="-0.5270701326194368"/>
    <n v="2.0732599999999999"/>
    <n v="-3.1470069290993865"/>
    <x v="3"/>
    <n v="1.9157790205729412"/>
  </r>
  <r>
    <s v="hbar"/>
    <x v="28"/>
    <n v="8.8805999999999996E-2"/>
    <n v="-0.18592621031752665"/>
    <n v="-0.39122000000000001"/>
    <n v="-4.5020050111720744"/>
    <x v="2"/>
    <n v="1.6930504071632004"/>
  </r>
  <r>
    <s v="m"/>
    <x v="29"/>
    <n v="2.84"/>
    <n v="-0.53550966207052098"/>
    <n v="-15.32451"/>
    <n v="-15.498655555094864"/>
    <x v="1"/>
    <n v="10.452891739055127"/>
  </r>
  <r>
    <s v="pyusd"/>
    <x v="30"/>
    <n v="0.99973599999999996"/>
    <n v="-7.7113846753832978E-3"/>
    <n v="-8.5400000000000007E-3"/>
    <n v="8.6002119353038777E-3"/>
    <x v="1"/>
    <n v="8.2838655368957254E-3"/>
  </r>
  <r>
    <s v="rain"/>
    <x v="31"/>
    <n v="7.5084499999999998E-3"/>
    <n v="-0.4191197650307209"/>
    <n v="7.5850000000000001E-2"/>
    <n v="-0.15384555735126018"/>
    <x v="4"/>
    <n v="0.21627177412732701"/>
  </r>
  <r>
    <s v="shib"/>
    <x v="32"/>
    <n v="5.8000000000000004E-6"/>
    <n v="-0.35139883319247217"/>
    <n v="1.0641099999999999"/>
    <n v="-7.7832922731106606"/>
    <x v="4"/>
    <n v="3.0662670354343775"/>
  </r>
  <r>
    <s v="cro"/>
    <x v="33"/>
    <n v="6.9209000000000007E-2"/>
    <n v="-0.44028155194728957"/>
    <n v="0.63295999999999997"/>
    <n v="-6.6222142406727675"/>
    <x v="2"/>
    <n v="2.5651519308733524"/>
  </r>
  <r>
    <s v="usyc"/>
    <x v="34"/>
    <n v="1.1200000000000001"/>
    <m/>
    <m/>
    <n v="0.13357663397083344"/>
    <x v="1"/>
    <n v="4.4525544656944478E-2"/>
  </r>
  <r>
    <s v="tao"/>
    <x v="35"/>
    <n v="283.02"/>
    <n v="-1.781568348964804"/>
    <n v="7.9411100000000001"/>
    <n v="-4.4596294501491007"/>
    <x v="0"/>
    <n v="4.7274359330379676"/>
  </r>
  <r>
    <s v="xaut"/>
    <x v="36"/>
    <n v="4522.5200000000004"/>
    <n v="1.202015389017762E-2"/>
    <n v="0.92886000000000002"/>
    <n v="-3.4818058999431787"/>
    <x v="0"/>
    <n v="1.4742286846111188"/>
  </r>
  <r>
    <s v="usdg"/>
    <x v="37"/>
    <n v="0.99975899999999995"/>
    <n v="4.8599483188784334E-4"/>
    <n v="3.0599999999999998E-3"/>
    <n v="1.8589930632178946E-2"/>
    <x v="1"/>
    <n v="7.3786418213555964E-3"/>
  </r>
  <r>
    <s v="buidl"/>
    <x v="38"/>
    <n v="1"/>
    <n v="0"/>
    <n v="0"/>
    <n v="0"/>
    <x v="1"/>
    <n v="0"/>
  </r>
  <r>
    <s v="uni"/>
    <x v="39"/>
    <n v="3.62"/>
    <n v="-0.99050516050255055"/>
    <n v="-0.41322999999999999"/>
    <n v="0.58632792341699735"/>
    <x v="1"/>
    <n v="0.66335436130651593"/>
  </r>
  <r>
    <s v="near"/>
    <x v="40"/>
    <n v="1.75"/>
    <n v="-0.11812262464886564"/>
    <n v="6.3548799999999996"/>
    <n v="10.639836616397185"/>
    <x v="1"/>
    <n v="5.7042797470153497"/>
  </r>
  <r>
    <s v="mnt"/>
    <x v="41"/>
    <n v="0.68358699999999994"/>
    <n v="-0.34267195050204619"/>
    <n v="9.2082300000000004"/>
    <n v="1.0438859455008442"/>
    <x v="1"/>
    <n v="3.5315959653342972"/>
  </r>
  <r>
    <s v="usdy"/>
    <x v="42"/>
    <n v="1.1299999999999999"/>
    <n v="0.42795131373949907"/>
    <n v="-0.23561000000000001"/>
    <n v="2.8911816051841989E-2"/>
    <x v="1"/>
    <n v="0.23082437659711372"/>
  </r>
  <r>
    <s v="dot"/>
    <x v="43"/>
    <n v="1.27"/>
    <n v="-0.54818035898782391"/>
    <n v="2.3259799999999999"/>
    <n v="-4.5023257036709508"/>
    <x v="1"/>
    <n v="2.4588286875529248"/>
  </r>
  <r>
    <s v="paxg"/>
    <x v="44"/>
    <n v="4524.24"/>
    <n v="3.1792901976748576E-2"/>
    <n v="0.93718000000000001"/>
    <n v="-3.4895275090278206"/>
    <x v="0"/>
    <n v="1.4861668036681897"/>
  </r>
  <r>
    <s v="ondo"/>
    <x v="45"/>
    <n v="0.40456700000000001"/>
    <n v="-0.85457540649667207"/>
    <n v="7.5934699999999999"/>
    <n v="5.4569317177622905"/>
    <x v="2"/>
    <n v="4.6349923747529873"/>
  </r>
  <r>
    <s v="wlfi"/>
    <x v="46"/>
    <n v="6.1742999999999999E-2"/>
    <n v="8.5060875340040809E-2"/>
    <n v="0.26554"/>
    <n v="-9.2719290133201966"/>
    <x v="2"/>
    <n v="3.2075099628867458"/>
  </r>
  <r>
    <s v="aster"/>
    <x v="47"/>
    <n v="0.71816000000000002"/>
    <n v="4.2732958440488078"/>
    <n v="8.3919800000000002"/>
    <n v="6.301876591393631"/>
    <x v="1"/>
    <n v="6.3223841451474785"/>
  </r>
  <r>
    <s v="htx"/>
    <x v="48"/>
    <n v="2.0099999999999998E-6"/>
    <n v="7.4229103767335616E-2"/>
    <n v="2.0961599999999998"/>
    <n v="2.7640844695456144"/>
    <x v="4"/>
    <n v="1.6448245244376498"/>
  </r>
  <r>
    <s v="usdf"/>
    <x v="49"/>
    <n v="0.99793699999999996"/>
    <n v="5.862603634798183E-2"/>
    <n v="2.0209999999999999E-2"/>
    <n v="2.060919059783636E-2"/>
    <x v="1"/>
    <n v="3.3148408981939402E-2"/>
  </r>
  <r>
    <s v="rlusd"/>
    <x v="50"/>
    <n v="0.99985500000000005"/>
    <n v="-5.4478521218610477E-3"/>
    <n v="-7.5199999999999998E-3"/>
    <n v="4.5662620184120875E-4"/>
    <x v="1"/>
    <n v="4.474826107900752E-3"/>
  </r>
  <r>
    <s v="okb"/>
    <x v="51"/>
    <n v="80.91"/>
    <n v="-0.23627204871313084"/>
    <n v="0.38945999999999997"/>
    <n v="-4.35506655847899"/>
    <x v="0"/>
    <n v="1.6602662023973735"/>
  </r>
  <r>
    <s v="sky"/>
    <x v="52"/>
    <n v="7.0705000000000004E-2"/>
    <n v="1.142832523301753E-2"/>
    <n v="2.4282400000000002"/>
    <n v="-2.7877835679384351"/>
    <x v="2"/>
    <n v="1.7424839643904841"/>
  </r>
  <r>
    <s v="pi"/>
    <x v="53"/>
    <n v="0.152616"/>
    <n v="-0.3945121998644997"/>
    <n v="1.3580399999999999"/>
    <n v="-10.239751688685232"/>
    <x v="2"/>
    <n v="3.9974346295165772"/>
  </r>
  <r>
    <s v="pepe"/>
    <x v="54"/>
    <n v="3.7500000000000001E-6"/>
    <n v="-0.64820364747108716"/>
    <n v="1.82717"/>
    <n v="-7.1632180720147183"/>
    <x v="4"/>
    <n v="3.2128639064952687"/>
  </r>
  <r>
    <s v="usdd"/>
    <x v="55"/>
    <n v="0.99919599999999997"/>
    <n v="-2.0785640772402279E-2"/>
    <n v="-6.7400000000000003E-3"/>
    <n v="-3.5988291909135536E-2"/>
    <x v="1"/>
    <n v="2.117131089384594E-2"/>
  </r>
  <r>
    <s v="icp"/>
    <x v="56"/>
    <n v="2.5499999999999998"/>
    <n v="-0.67768520265549548"/>
    <n v="1.3657600000000001"/>
    <n v="-14.346871097471393"/>
    <x v="1"/>
    <n v="5.4634387667089621"/>
  </r>
  <r>
    <s v="bgb"/>
    <x v="57"/>
    <n v="2.0099999999999998"/>
    <n v="-0.15940971873374071"/>
    <n v="0.28819"/>
    <n v="-3.8710864471212432"/>
    <x v="1"/>
    <n v="1.4395620552849946"/>
  </r>
  <r>
    <s v="etc"/>
    <x v="58"/>
    <n v="8.98"/>
    <n v="-0.56416051559823477"/>
    <n v="-0.78042999999999996"/>
    <n v="-2.8260044865838125"/>
    <x v="3"/>
    <n v="1.3901983340606823"/>
  </r>
  <r>
    <s v="aave"/>
    <x v="59"/>
    <n v="88.75"/>
    <n v="-0.72788565888266055"/>
    <n v="1.1672199999999999"/>
    <n v="-8.2018127262532694"/>
    <x v="0"/>
    <n v="3.3656394617119765"/>
  </r>
  <r>
    <s v="bfusd"/>
    <x v="60"/>
    <n v="0.99830099999999999"/>
    <n v="-1.0009879803440602E-2"/>
    <n v="-0.02"/>
    <n v="-7.9980589497204088E-2"/>
    <x v="1"/>
    <n v="3.6663489766881559E-2"/>
  </r>
  <r>
    <s v="morpho"/>
    <x v="61"/>
    <n v="1.9"/>
    <n v="-6.9964460628921921E-2"/>
    <n v="5.7377799999999999"/>
    <n v="-3.5161602546571928"/>
    <x v="1"/>
    <n v="3.1079682384287053"/>
  </r>
  <r>
    <s v="usdtb"/>
    <x v="62"/>
    <n v="0.99926000000000004"/>
    <n v="7.3147164101177733E-4"/>
    <n v="1.034E-2"/>
    <n v="-8.9254343215381827E-3"/>
    <x v="1"/>
    <n v="6.665635320849986E-3"/>
  </r>
  <r>
    <s v="kcs"/>
    <x v="63"/>
    <n v="8"/>
    <n v="0.20980787852562544"/>
    <n v="0.64693000000000001"/>
    <n v="-4.0416454085957367"/>
    <x v="3"/>
    <n v="1.6327944290404541"/>
  </r>
  <r>
    <s v="qnt"/>
    <x v="64"/>
    <n v="73.64"/>
    <n v="-9.0844698906063295E-2"/>
    <n v="1.5471900000000001"/>
    <n v="-4.6706862453354789"/>
    <x v="0"/>
    <n v="2.1029069814138475"/>
  </r>
  <r>
    <s v="eutbl"/>
    <x v="65"/>
    <n v="1.22"/>
    <n v="5.9546031291903272E-2"/>
    <n v="0.35172999999999999"/>
    <n v="-0.64773590649508916"/>
    <x v="1"/>
    <n v="0.35300397926233079"/>
  </r>
  <r>
    <s v="atom"/>
    <x v="66"/>
    <n v="2.06"/>
    <n v="-0.36321184248508648"/>
    <n v="2.6810700000000001"/>
    <n v="2.7892255445955718"/>
    <x v="1"/>
    <n v="1.9445024623602194"/>
  </r>
  <r>
    <s v="algo"/>
    <x v="67"/>
    <n v="0.115578"/>
    <n v="3.4521222066742678E-2"/>
    <n v="1.29657"/>
    <n v="-1.1306691103516555"/>
    <x v="2"/>
    <n v="0.8205867774727994"/>
  </r>
  <r>
    <s v="u"/>
    <x v="68"/>
    <n v="1"/>
    <n v="3.6520957212520331E-3"/>
    <n v="2.7009999999999999E-2"/>
    <n v="2.9818843530029011E-2"/>
    <x v="1"/>
    <n v="2.0160313083760349E-2"/>
  </r>
  <r>
    <s v="render"/>
    <x v="69"/>
    <n v="1.93"/>
    <n v="-1.536708769952134"/>
    <n v="3.1774300000000002"/>
    <n v="3.2769830750706395"/>
    <x v="1"/>
    <n v="2.6637072816742577"/>
  </r>
  <r>
    <s v="jtrsy"/>
    <x v="70"/>
    <n v="1.1000000000000001"/>
    <n v="0"/>
    <n v="1.123E-2"/>
    <n v="8.1673351916064146E-2"/>
    <x v="1"/>
    <n v="3.0967783972021382E-2"/>
  </r>
  <r>
    <s v="ustb"/>
    <x v="71"/>
    <n v="11.09"/>
    <n v="0"/>
    <n v="9.6200000000000001E-3"/>
    <n v="6.6244584572892867E-2"/>
    <x v="3"/>
    <n v="2.5288194857630956E-2"/>
  </r>
  <r>
    <s v="pol"/>
    <x v="72"/>
    <n v="9.1508000000000006E-2"/>
    <n v="3.8823601440828505E-2"/>
    <n v="1.5019"/>
    <n v="-3.0048907592840153"/>
    <x v="2"/>
    <n v="1.5152047869082814"/>
  </r>
  <r>
    <s v="bcap"/>
    <x v="73"/>
    <n v="105.74"/>
    <n v="0"/>
    <n v="0"/>
    <n v="-0.12279210352319792"/>
    <x v="0"/>
    <n v="4.0930701174399307E-2"/>
  </r>
  <r>
    <s v="ena"/>
    <x v="74"/>
    <n v="0.10625999999999999"/>
    <n v="-0.92173924283602915"/>
    <n v="0.46399000000000001"/>
    <n v="-8.896123708383346"/>
    <x v="2"/>
    <n v="3.4272843170731249"/>
  </r>
  <r>
    <s v="kas"/>
    <x v="75"/>
    <n v="3.4611650000000001E-2"/>
    <n v="-1.2834753987679129E-2"/>
    <n v="1.4296800000000001"/>
    <n v="-6.3114970334573002"/>
    <x v="4"/>
    <n v="2.5846705958149934"/>
  </r>
  <r>
    <s v="wld"/>
    <x v="76"/>
    <n v="0.26061099999999998"/>
    <n v="-1.3984860526017806"/>
    <n v="8.4536599999999993"/>
    <n v="1.293213257277972"/>
    <x v="2"/>
    <n v="3.7151197699599172"/>
  </r>
  <r>
    <s v="nexo"/>
    <x v="77"/>
    <n v="0.87499899999999997"/>
    <n v="-3.8154939888950794E-2"/>
    <n v="-1.7375499999999999"/>
    <n v="-2.6357846277267436"/>
    <x v="1"/>
    <n v="1.4704965225385649"/>
  </r>
  <r>
    <s v="stable"/>
    <x v="78"/>
    <n v="3.4954939999999997E-2"/>
    <n v="0.14167470231893425"/>
    <n v="1.4436500000000001"/>
    <n v="-11.232735821622622"/>
    <x v="4"/>
    <n v="4.2726868413138517"/>
  </r>
  <r>
    <s v="jst"/>
    <x v="79"/>
    <n v="9.2516000000000001E-2"/>
    <n v="0.27689853311011403"/>
    <n v="-0.55352999999999997"/>
    <n v="4.4561859262116386"/>
    <x v="2"/>
    <n v="1.7622048197739175"/>
  </r>
  <r>
    <s v="apt"/>
    <x v="80"/>
    <n v="0.95929299999999995"/>
    <n v="-0.93372226689195204"/>
    <n v="1.6013900000000001"/>
    <n v="-7.019568455126433"/>
    <x v="1"/>
    <n v="3.1848935740061286"/>
  </r>
  <r>
    <s v="vvv"/>
    <x v="81"/>
    <n v="16.89"/>
    <n v="-5.6718009400309854E-2"/>
    <n v="-2.3229099999999998"/>
    <n v="22.03687715400676"/>
    <x v="3"/>
    <n v="8.1388350544690233"/>
  </r>
  <r>
    <s v="fil"/>
    <x v="82"/>
    <n v="0.98548500000000006"/>
    <n v="-0.7649258471107746"/>
    <n v="3.1208200000000001"/>
    <n v="-5.4094864130691684"/>
    <x v="1"/>
    <n v="3.0984107533933147"/>
  </r>
  <r>
    <s v="gt"/>
    <x v="83"/>
    <n v="7.01"/>
    <n v="-0.93137384136615964"/>
    <n v="0.16386999999999999"/>
    <n v="-3.6393198685997072"/>
    <x v="3"/>
    <n v="1.5781879033219557"/>
  </r>
  <r>
    <s v="flr"/>
    <x v="84"/>
    <n v="8.4871300000000007E-3"/>
    <n v="-0.28081130095493589"/>
    <n v="2.0306500000000001"/>
    <n v="-2.1574832681693898"/>
    <x v="4"/>
    <n v="1.4896481897081086"/>
  </r>
  <r>
    <s v="xdc"/>
    <x v="85"/>
    <n v="3.5748380000000003E-2"/>
    <n v="-3.2478520796764006E-2"/>
    <n v="0.22980999999999999"/>
    <n v="8.2376586786797397"/>
    <x v="4"/>
    <n v="2.8333157331588343"/>
  </r>
  <r>
    <s v="jup"/>
    <x v="86"/>
    <n v="0.21218899999999999"/>
    <n v="-1.3785026420975171"/>
    <n v="3.4136000000000002"/>
    <n v="-4.1658289097265229"/>
    <x v="2"/>
    <n v="2.9859771839413463"/>
  </r>
  <r>
    <s v="arb"/>
    <x v="87"/>
    <n v="0.11032599999999999"/>
    <n v="-1.1177254384630504"/>
    <n v="-2.4925799999999998"/>
    <n v="-15.228825902003171"/>
    <x v="2"/>
    <n v="6.2797104468220732"/>
  </r>
  <r>
    <s v="pump"/>
    <x v="88"/>
    <n v="1.7726700000000001E-3"/>
    <n v="-0.75974920005497459"/>
    <n v="3.70689"/>
    <n v="-4.2158166934426378"/>
    <x v="4"/>
    <n v="2.8941519644992035"/>
  </r>
  <r>
    <s v="dexe"/>
    <x v="89"/>
    <n v="13.39"/>
    <n v="-1.4819695960968398"/>
    <n v="-4.5962100000000001"/>
    <n v="9.1321532709053184"/>
    <x v="3"/>
    <n v="5.0701109556673858"/>
  </r>
  <r>
    <s v="dash"/>
    <x v="90"/>
    <n v="48.18"/>
    <n v="0.37147373851804905"/>
    <n v="3.3366099999999999"/>
    <n v="9.2307544775422112"/>
    <x v="3"/>
    <n v="4.312946072020087"/>
  </r>
  <r>
    <s v="bdx"/>
    <x v="91"/>
    <n v="7.8797000000000006E-2"/>
    <n v="-0.1827800413121955"/>
    <n v="-4.3470000000000002E-2"/>
    <n v="-0.14256689116433208"/>
    <x v="2"/>
    <n v="0.12293897749217586"/>
  </r>
  <r>
    <s v="pengu"/>
    <x v="92"/>
    <n v="9.3138400000000003E-3"/>
    <n v="0.10685062857596712"/>
    <n v="5.4921699999999998"/>
    <n v="3.7381059626018862"/>
    <x v="4"/>
    <n v="3.1123755303926175"/>
  </r>
  <r>
    <s v="gho"/>
    <x v="93"/>
    <n v="0.99903600000000004"/>
    <n v="1.0227157700040065E-2"/>
    <n v="9.6799999999999994E-3"/>
    <n v="-2.7486512004468867E-2"/>
    <x v="1"/>
    <n v="1.5797889901502975E-2"/>
  </r>
  <r>
    <s v="vet"/>
    <x v="94"/>
    <n v="6.5942500000000003E-3"/>
    <n v="-0.43788924434869664"/>
    <n v="0.25842999999999999"/>
    <n v="-8.8862103991739332"/>
    <x v="4"/>
    <n v="3.1941765478408768"/>
  </r>
  <r>
    <s v="ousg"/>
    <x v="95"/>
    <n v="115.31"/>
    <n v="0"/>
    <n v="9.1900000000000003E-3"/>
    <n v="6.6172595311753374E-2"/>
    <x v="0"/>
    <n v="2.5120865103917794E-2"/>
  </r>
  <r>
    <s v="usd0"/>
    <x v="96"/>
    <n v="0.99855000000000005"/>
    <n v="4.4487532887839989E-4"/>
    <n v="5.0619999999999998E-2"/>
    <n v="5.8494212316431975E-2"/>
    <x v="1"/>
    <n v="3.6519695881770127E-2"/>
  </r>
  <r>
    <s v="bonk"/>
    <x v="97"/>
    <n v="6.1600000000000003E-6"/>
    <n v="-0.53513109172105677"/>
    <n v="2.5339999999999998"/>
    <n v="-9.2711236175321154"/>
    <x v="4"/>
    <n v="4.1134182364177239"/>
  </r>
  <r>
    <s v="kite"/>
    <x v="98"/>
    <n v="0.236182"/>
    <n v="-0.29263925232682847"/>
    <n v="2.7501799999999998"/>
    <n v="5.8203748195879621"/>
    <x v="2"/>
    <n v="2.954398023971597"/>
  </r>
  <r>
    <s v="hash"/>
    <x v="99"/>
    <n v="1.004557E-2"/>
    <n v="-6.1557530964273965"/>
    <n v="-4.2564500000000001"/>
    <n v="-4.5766535204846894"/>
    <x v="4"/>
    <n v="4.9962855389706959"/>
  </r>
  <r>
    <s v="a7a5"/>
    <x v="100"/>
    <n v="1.299224E-2"/>
    <n v="0.74374329820953344"/>
    <n v="4.8166700000000002"/>
    <n v="0.75623263296258847"/>
    <x v="4"/>
    <n v="2.1055486437240409"/>
  </r>
  <r>
    <s v="ylds"/>
    <x v="101"/>
    <n v="0.99986399999999998"/>
    <n v="5.8097547618077491E-3"/>
    <n v="1.2239999999999999E-2"/>
    <n v="1.4835584255099897E-2"/>
    <x v="1"/>
    <n v="1.096177967230255E-2"/>
  </r>
  <r>
    <s v="night"/>
    <x v="102"/>
    <n v="3.027649E-2"/>
    <n v="0.53323550554772248"/>
    <n v="-1.4766300000000001"/>
    <n v="-6.7427124026041891"/>
    <x v="4"/>
    <n v="2.9175259693839704"/>
  </r>
  <r>
    <s v="tusd"/>
    <x v="103"/>
    <n v="0.99854200000000004"/>
    <n v="-8.5989128240925403E-2"/>
    <n v="-4.6580000000000003E-2"/>
    <n v="-0.10563502589927184"/>
    <x v="1"/>
    <n v="7.9401384713399081E-2"/>
  </r>
  <r>
    <s v="inj"/>
    <x v="104"/>
    <n v="4.93"/>
    <n v="-0.94066156139839119"/>
    <n v="-0.23676"/>
    <n v="-1.8249166526109768"/>
    <x v="1"/>
    <n v="1.0007794046697893"/>
  </r>
  <r>
    <s v="apxusd"/>
    <x v="105"/>
    <n v="0.99967799999999996"/>
    <n v="3.1267460640867009E-3"/>
    <n v="7.9900000000000006E-3"/>
    <n v="-1.3009006591644962E-2"/>
    <x v="1"/>
    <n v="8.0419175519105546E-3"/>
  </r>
  <r>
    <s v="edge"/>
    <x v="106"/>
    <n v="1.38"/>
    <n v="0.85723729515254488"/>
    <n v="0.50178"/>
    <n v="1.396854929538426"/>
    <x v="1"/>
    <n v="0.91862407489699027"/>
  </r>
  <r>
    <s v="trump"/>
    <x v="107"/>
    <n v="2.04"/>
    <n v="-0.80213476534117634"/>
    <n v="-0.16904"/>
    <n v="-13.813769668634448"/>
    <x v="1"/>
    <n v="4.9283148113252082"/>
  </r>
  <r>
    <s v="virtual"/>
    <x v="108"/>
    <n v="0.73280100000000004"/>
    <n v="-0.91518623852076797"/>
    <n v="1.76427"/>
    <n v="-4.6572740844001377"/>
    <x v="1"/>
    <n v="2.4455767743069683"/>
  </r>
  <r>
    <s v="cake"/>
    <x v="109"/>
    <n v="1.45"/>
    <n v="4.1447496129224208E-2"/>
    <n v="2.7536999999999998"/>
    <n v="-4.5586737825745454"/>
    <x v="1"/>
    <n v="2.4512737595679233"/>
  </r>
  <r>
    <s v="h"/>
    <x v="110"/>
    <n v="0.248942"/>
    <n v="-2.0648232511594364"/>
    <n v="2.8649"/>
    <n v="-2.3655724660467539"/>
    <x v="2"/>
    <n v="2.4317652390687301"/>
  </r>
  <r>
    <s v="stx"/>
    <x v="111"/>
    <n v="0.24349899999999999"/>
    <n v="-0.38965096199466137"/>
    <n v="2.0144600000000001"/>
    <n v="-9.2811525963922445"/>
    <x v="2"/>
    <n v="3.8950878527956352"/>
  </r>
  <r>
    <s v="chz"/>
    <x v="112"/>
    <n v="4.3249959999999997E-2"/>
    <n v="-1.1358438426370945"/>
    <n v="-7.3443399999999999"/>
    <n v="1.7245388111977915"/>
    <x v="4"/>
    <n v="3.4015742179449617"/>
  </r>
  <r>
    <s v="币安人生"/>
    <x v="113"/>
    <n v="0.43762800000000002"/>
    <n v="0.41786221904224868"/>
    <n v="-0.85145000000000004"/>
    <n v="13.129260580405759"/>
    <x v="2"/>
    <n v="4.7995242664826696"/>
  </r>
  <r>
    <s v="fet"/>
    <x v="114"/>
    <n v="0.19362299999999999"/>
    <n v="-1.2785764690005983"/>
    <n v="1.5843400000000001"/>
    <n v="-8.2902450202843294"/>
    <x v="2"/>
    <n v="3.7177204964283095"/>
  </r>
  <r>
    <s v="eurc"/>
    <x v="115"/>
    <n v="1.1599999999999999"/>
    <n v="2.3664700818693984E-2"/>
    <n v="0.30115999999999998"/>
    <n v="-0.69619386757828416"/>
    <x v="1"/>
    <n v="0.34033952279899271"/>
  </r>
  <r>
    <s v="jaaa"/>
    <x v="116"/>
    <n v="1.0349999999999999"/>
    <n v="0"/>
    <n v="7.92E-3"/>
    <n v="6.4771723179184532E-2"/>
    <x v="1"/>
    <n v="2.4230574393061508E-2"/>
  </r>
  <r>
    <s v="lunc"/>
    <x v="117"/>
    <n v="7.6660000000000001E-5"/>
    <n v="-0.47084749742235543"/>
    <n v="-0.44874999999999998"/>
    <n v="-6.4015324491412908"/>
    <x v="4"/>
    <n v="2.4403766488545489"/>
  </r>
  <r>
    <s v="eursafo"/>
    <x v="118"/>
    <n v="1.17"/>
    <n v="5.9546031291912063E-2"/>
    <n v="0.35361999999999999"/>
    <n v="-0.67442482501248802"/>
    <x v="1"/>
    <n v="0.36253028543480004"/>
  </r>
  <r>
    <s v="sei"/>
    <x v="119"/>
    <n v="6.2087999999999997E-2"/>
    <n v="-0.56684600329461188"/>
    <n v="2.1103700000000001"/>
    <n v="-6.3570964510338115"/>
    <x v="2"/>
    <n v="3.0114374847761414"/>
  </r>
  <r>
    <s v="adi"/>
    <x v="120"/>
    <n v="3.88"/>
    <n v="4.6932999382679169E-2"/>
    <n v="0.31663000000000002"/>
    <n v="-3.5257451525254302"/>
    <x v="1"/>
    <n v="1.2964360506360364"/>
  </r>
  <r>
    <s v="usx"/>
    <x v="121"/>
    <n v="0.99956999999999996"/>
    <n v="-2.2825705710728492E-2"/>
    <n v="1.243E-2"/>
    <n v="-2.1964573362665721E-2"/>
    <x v="1"/>
    <n v="1.907342635779807E-2"/>
  </r>
  <r>
    <s v="aero"/>
    <x v="122"/>
    <n v="0.42183399999999999"/>
    <n v="-0.15854028913523016"/>
    <n v="2.6947700000000001"/>
    <n v="-8.5827582618479568"/>
    <x v="2"/>
    <n v="3.8120228503277289"/>
  </r>
  <r>
    <s v="sun"/>
    <x v="123"/>
    <n v="2.0131980000000001E-2"/>
    <n v="9.6325534298319124E-2"/>
    <n v="1.97557"/>
    <n v="0.52114467459328628"/>
    <x v="4"/>
    <n v="0.86434673629720171"/>
  </r>
  <r>
    <s v="2z"/>
    <x v="124"/>
    <n v="0.11056000000000001"/>
    <n v="-1.1516376048372927"/>
    <n v="18.121580000000002"/>
    <n v="5.5910979670554442"/>
    <x v="2"/>
    <n v="8.2881051906309136"/>
  </r>
  <r>
    <s v="xtz"/>
    <x v="125"/>
    <n v="0.34807300000000002"/>
    <n v="-5.5739572009547003E-2"/>
    <n v="3.20601"/>
    <n v="-7.5705610687768541"/>
    <x v="2"/>
    <n v="3.6107702135954671"/>
  </r>
  <r>
    <s v="fdusd"/>
    <x v="126"/>
    <n v="0.99834400000000001"/>
    <n v="3.1897769888207458E-2"/>
    <n v="6.3159999999999994E-2"/>
    <n v="4.5456217658799786E-2"/>
    <x v="1"/>
    <n v="4.683799584900241E-2"/>
  </r>
  <r>
    <s v="siren"/>
    <x v="127"/>
    <n v="0.51069799999999999"/>
    <n v="-0.83747680478302855"/>
    <n v="-5.1326999999999998"/>
    <n v="-8.5946928314079685"/>
    <x v="1"/>
    <n v="4.8549565453969992"/>
  </r>
  <r>
    <s v="tia"/>
    <x v="128"/>
    <n v="0.402478"/>
    <n v="-1.0742652871668881"/>
    <n v="0.38993"/>
    <n v="-10.773765529098862"/>
    <x v="2"/>
    <n v="4.0793202720885828"/>
  </r>
  <r>
    <s v="nex"/>
    <x v="129"/>
    <n v="6.0499999999999997E-6"/>
    <n v="-4.7070535088897936"/>
    <n v="44.260750000000002"/>
    <m/>
    <x v="4"/>
    <n v="16.32260116962993"/>
  </r>
  <r>
    <s v="spx"/>
    <x v="130"/>
    <n v="0.38855800000000001"/>
    <n v="-2.3028339129458826"/>
    <n v="4.0667900000000001"/>
    <n v="-6.3669849144861486"/>
    <x v="2"/>
    <n v="4.2455362758106778"/>
  </r>
  <r>
    <s v="crv"/>
    <x v="131"/>
    <n v="0.23450799999999999"/>
    <n v="-0.81519762586690392"/>
    <n v="-1.0245599999999999"/>
    <n v="-11.845152085276656"/>
    <x v="2"/>
    <n v="4.5616365703811868"/>
  </r>
  <r>
    <s v="lit"/>
    <x v="132"/>
    <n v="1.42"/>
    <n v="3.0246675251777844"/>
    <n v="18.801600000000001"/>
    <n v="59.317000667836965"/>
    <x v="1"/>
    <n v="27.047756064338248"/>
  </r>
  <r>
    <s v="zro"/>
    <x v="133"/>
    <n v="1.38"/>
    <n v="-0.28837439042785062"/>
    <n v="2.7849499999999998"/>
    <n v="-1.6269764424295274"/>
    <x v="1"/>
    <n v="1.5667669442857928"/>
  </r>
  <r>
    <s v="kau"/>
    <x v="134"/>
    <n v="144.13"/>
    <n v="-2.8582104671558547E-3"/>
    <n v="0.59263999999999994"/>
    <n v="-5.1785984029551404"/>
    <x v="0"/>
    <n v="1.9246988711407653"/>
  </r>
  <r>
    <s v="skyai"/>
    <x v="135"/>
    <n v="0.34193800000000002"/>
    <n v="-0.58887890381040819"/>
    <n v="6.5104600000000001"/>
    <n v="-8.7695096850001288"/>
    <x v="2"/>
    <n v="5.2896161962701784"/>
  </r>
  <r>
    <s v="ethfi"/>
    <x v="136"/>
    <n v="0.38308399999999998"/>
    <n v="-0.57606204052743182"/>
    <n v="1.26953"/>
    <n v="-14.212334579290792"/>
    <x v="2"/>
    <n v="5.3526422066060748"/>
  </r>
  <r>
    <s v="lab"/>
    <x v="137"/>
    <n v="4.3899999999999997"/>
    <n v="-2.8118704607825489E-2"/>
    <n v="6.68072"/>
    <n v="-19.852966232672596"/>
    <x v="1"/>
    <n v="8.8539349790934736"/>
  </r>
  <r>
    <s v="usdgo"/>
    <x v="138"/>
    <n v="0.99989499999999998"/>
    <n v="1.4221386783271795E-2"/>
    <n v="3.98E-3"/>
    <n v="1.7999601673864142E-2"/>
    <x v="1"/>
    <n v="1.2066996152378646E-2"/>
  </r>
  <r>
    <s v="pyth"/>
    <x v="139"/>
    <n v="4.1979330000000002E-2"/>
    <n v="-0.21228335426243777"/>
    <n v="3.4300099999999998"/>
    <n v="-16.762223293820089"/>
    <x v="4"/>
    <n v="6.8015055493608427"/>
  </r>
  <r>
    <s v="9bit"/>
    <x v="140"/>
    <n v="3.9454759999999998E-2"/>
    <n v="-2.2418454740153838E-2"/>
    <n v="-0.53420000000000001"/>
    <n v="50.638513123721992"/>
    <x v="4"/>
    <n v="17.065043859487382"/>
  </r>
  <r>
    <s v="mon"/>
    <x v="141"/>
    <n v="2.7296379999999999E-2"/>
    <n v="-1.1465244661153251"/>
    <n v="3.7958699999999999"/>
    <n v="-8.6853530736421334"/>
    <x v="4"/>
    <n v="4.5425825132524862"/>
  </r>
  <r>
    <s v="btt"/>
    <x v="142"/>
    <n v="3.2307699999999998E-7"/>
    <n v="-0.14271893347297124"/>
    <n v="0.52371000000000001"/>
    <n v="-1.0899312208431138"/>
    <x v="4"/>
    <n v="0.58545338477202835"/>
  </r>
  <r>
    <s v="pendle"/>
    <x v="143"/>
    <n v="1.84"/>
    <n v="-1.0454899598452905"/>
    <n v="4.6445100000000004"/>
    <n v="-7.1445817932159583"/>
    <x v="1"/>
    <n v="4.2781939176870827"/>
  </r>
  <r>
    <s v="gno"/>
    <x v="144"/>
    <n v="118.67"/>
    <n v="-0.34598260317002993"/>
    <n v="0.18432999999999999"/>
    <n v="-6.5532931970090704"/>
    <x v="0"/>
    <n v="2.3612019333930334"/>
  </r>
  <r>
    <s v="kaia"/>
    <x v="145"/>
    <n v="5.2684000000000002E-2"/>
    <n v="1.1304244275461957"/>
    <n v="2.7868599999999999"/>
    <n v="10.006767595255427"/>
    <x v="2"/>
    <n v="4.6413506742672075"/>
  </r>
  <r>
    <s v="prime"/>
    <x v="146"/>
    <n v="1.0389999999999999"/>
    <n v="3.6413312387483326E-2"/>
    <n v="4.2520000000000002E-2"/>
    <n v="0.17854974146975278"/>
    <x v="1"/>
    <n v="8.5827684619078706E-2"/>
  </r>
  <r>
    <s v="ldo"/>
    <x v="147"/>
    <n v="0.358068"/>
    <n v="-0.99276731782324401"/>
    <n v="0.12653"/>
    <n v="-6.2938872758589577"/>
    <x v="2"/>
    <n v="2.4710615312274005"/>
  </r>
  <r>
    <s v="dcr"/>
    <x v="148"/>
    <n v="17.489999999999998"/>
    <n v="0.64918931790000312"/>
    <n v="3.3765800000000001"/>
    <n v="-6.1461130692192745"/>
    <x v="3"/>
    <n v="3.390627462373093"/>
  </r>
  <r>
    <s v="bsv"/>
    <x v="149"/>
    <n v="15.02"/>
    <n v="-0.22060077502847475"/>
    <n v="-5.7029999999999997E-2"/>
    <n v="-9.9458941707521316"/>
    <x v="3"/>
    <n v="3.4078416485935357"/>
  </r>
  <r>
    <s v="b"/>
    <x v="150"/>
    <n v="0.29928100000000002"/>
    <n v="-2.5331040002473739"/>
    <n v="-15.039339999999999"/>
    <n v="-37.878334906632929"/>
    <x v="2"/>
    <n v="18.4835929689601"/>
  </r>
  <r>
    <s v="cfx"/>
    <x v="151"/>
    <n v="5.7339000000000001E-2"/>
    <n v="-0.62099615639521411"/>
    <n v="-1.03667"/>
    <n v="-17.662348097408643"/>
    <x v="2"/>
    <n v="6.4400047512679519"/>
  </r>
  <r>
    <s v="tel"/>
    <x v="152"/>
    <n v="3.0936399999999999E-3"/>
    <n v="-1.566869469016164"/>
    <n v="0.97435000000000005"/>
    <n v="7.0935045318689358"/>
    <x v="4"/>
    <n v="3.2115746669617002"/>
  </r>
  <r>
    <s v="floki"/>
    <x v="153"/>
    <n v="3.0530000000000001E-5"/>
    <n v="-0.87382045024721045"/>
    <n v="0.48065999999999998"/>
    <n v="-11.261974898690736"/>
    <x v="4"/>
    <n v="4.2054851163126488"/>
  </r>
  <r>
    <s v="zbcn"/>
    <x v="154"/>
    <n v="3.0067100000000001E-3"/>
    <n v="-0.76295536920603702"/>
    <n v="5.5182799999999999"/>
    <n v="-12.205380530654317"/>
    <x v="4"/>
    <n v="6.1622052999534516"/>
  </r>
  <r>
    <s v="usdai"/>
    <x v="155"/>
    <n v="1.0009999999999999"/>
    <n v="0.21034617415088672"/>
    <n v="3.388E-2"/>
    <n v="0.11429374486665274"/>
    <x v="1"/>
    <n v="0.11950663967251314"/>
  </r>
  <r>
    <s v="jasmy"/>
    <x v="156"/>
    <n v="5.7455800000000001E-3"/>
    <n v="0.51490637960545893"/>
    <n v="1.5097400000000001"/>
    <n v="-10.697854003804467"/>
    <x v="4"/>
    <n v="4.2408334611366421"/>
  </r>
  <r>
    <s v="ohm"/>
    <x v="157"/>
    <n v="18.95"/>
    <n v="-0.3268767367031214"/>
    <n v="0.39419999999999999"/>
    <n v="-2.9082326279936401"/>
    <x v="3"/>
    <n v="1.209769788232254"/>
  </r>
  <r>
    <s v="kag"/>
    <x v="158"/>
    <n v="75.13"/>
    <n v="0.10604256576576972"/>
    <n v="-0.33883999999999997"/>
    <n v="-14.245363147709414"/>
    <x v="0"/>
    <n v="4.8967485711583949"/>
  </r>
  <r>
    <s v="nft"/>
    <x v="159"/>
    <n v="2.8398599999999999E-7"/>
    <n v="-1.1642310509314393"/>
    <n v="0.20669999999999999"/>
    <n v="-6.1047753860788738"/>
    <x v="4"/>
    <n v="2.4919021456701045"/>
  </r>
  <r>
    <s v="strk"/>
    <x v="160"/>
    <n v="4.4382959999999999E-2"/>
    <n v="0.20048364614252021"/>
    <n v="4.7800099999999999"/>
    <n v="-3.2606585606958194"/>
    <x v="4"/>
    <n v="2.7470507356127798"/>
  </r>
  <r>
    <s v="op"/>
    <x v="161"/>
    <n v="0.129576"/>
    <n v="-0.4436143850960757"/>
    <n v="1.76119"/>
    <n v="-11.350403958743991"/>
    <x v="2"/>
    <n v="4.518402781280022"/>
  </r>
  <r>
    <s v="grt"/>
    <x v="162"/>
    <n v="2.54243E-2"/>
    <n v="-0.91393210402664038"/>
    <n v="1.8640000000000001"/>
    <n v="-8.6517544593618911"/>
    <x v="4"/>
    <n v="3.8098955211295107"/>
  </r>
  <r>
    <s v="frax"/>
    <x v="163"/>
    <n v="0.99280000000000002"/>
    <n v="-3.0696287601369623E-2"/>
    <n v="4.1509999999999998E-2"/>
    <n v="-0.102892882369164"/>
    <x v="1"/>
    <n v="5.8366389990177875E-2"/>
  </r>
  <r>
    <s v="gwei"/>
    <x v="164"/>
    <n v="0.124293"/>
    <n v="-0.66415224522006822"/>
    <n v="-4.2963399999999998"/>
    <n v="-3.2959189944189551"/>
    <x v="2"/>
    <n v="2.7521370798796743"/>
  </r>
  <r>
    <s v="ens"/>
    <x v="165"/>
    <n v="6.31"/>
    <n v="-0.40392273980911308"/>
    <n v="1.02474"/>
    <n v="-8.5493844588959327"/>
    <x v="3"/>
    <n v="3.326015732901682"/>
  </r>
  <r>
    <s v="ub"/>
    <x v="166"/>
    <n v="0.101539"/>
    <n v="-2.2438954959968607"/>
    <n v="-18.73434"/>
    <n v="-50.862414168605994"/>
    <x v="2"/>
    <n v="23.946883221534282"/>
  </r>
  <r>
    <s v="iota"/>
    <x v="167"/>
    <n v="5.6327000000000002E-2"/>
    <n v="-0.43209859983376631"/>
    <n v="0.40656999999999999"/>
    <n v="-6.207528963308147"/>
    <x v="2"/>
    <n v="2.3487325210473045"/>
  </r>
  <r>
    <s v="rusd"/>
    <x v="168"/>
    <n v="0.99952300000000005"/>
    <n v="-2.481104511874424E-2"/>
    <n v="-9.9699999999999997E-3"/>
    <n v="-1.3818904547403223E-2"/>
    <x v="1"/>
    <n v="1.6199983222049155E-2"/>
  </r>
  <r>
    <s v="usdm"/>
    <x v="169"/>
    <n v="0.99802999999999997"/>
    <n v="-0.12642839999330224"/>
    <n v="-1.384E-2"/>
    <n v="-0.24888000344354305"/>
    <x v="1"/>
    <n v="0.12971613447894845"/>
  </r>
  <r>
    <s v="apepe"/>
    <x v="170"/>
    <n v="1.1400000000000001E-6"/>
    <n v="-0.26114304249148512"/>
    <n v="3.4689999999999999E-2"/>
    <n v="-7.4808556173684577"/>
    <x v="4"/>
    <n v="2.5922295532866477"/>
  </r>
  <r>
    <s v="jto"/>
    <x v="171"/>
    <n v="0.49956499999999998"/>
    <n v="-2.6858335023109459"/>
    <n v="15.31457"/>
    <n v="1.1813689464871238"/>
    <x v="2"/>
    <n v="6.3939241495993562"/>
  </r>
  <r>
    <s v="syrup"/>
    <x v="172"/>
    <n v="0.20146600000000001"/>
    <n v="0.89722200769105975"/>
    <n v="-4.54087"/>
    <n v="-13.146690994478416"/>
    <x v="2"/>
    <n v="6.1949276673898241"/>
  </r>
  <r>
    <s v="real"/>
    <x v="173"/>
    <n v="7.1777999999999995E-2"/>
    <n v="-0.30284271484074793"/>
    <n v="1.11951"/>
    <n v="-5.4279615468585494"/>
    <x v="2"/>
    <n v="2.2834380872330993"/>
  </r>
  <r>
    <s v="akt"/>
    <x v="174"/>
    <n v="0.77480099999999996"/>
    <n v="-1.024241013953004"/>
    <n v="1.13148"/>
    <n v="-3.6286971212036208"/>
    <x v="1"/>
    <n v="1.9281393783855414"/>
  </r>
  <r>
    <s v="crvusd"/>
    <x v="175"/>
    <n v="0.99920299999999995"/>
    <n v="-2.853099403055992E-2"/>
    <n v="2.0559999999999998E-2"/>
    <n v="-3.9360063969295839E-2"/>
    <x v="1"/>
    <n v="2.9483685999951919E-2"/>
  </r>
  <r>
    <s v="comp"/>
    <x v="176"/>
    <n v="22.65"/>
    <n v="-0.99654263582428237"/>
    <n v="-0.27915000000000001"/>
    <n v="5.8084946925981366E-2"/>
    <x v="3"/>
    <n v="0.44459252758342127"/>
  </r>
  <r>
    <s v="xpl"/>
    <x v="177"/>
    <n v="8.7041999999999994E-2"/>
    <n v="-0.47675133310394902"/>
    <n v="4.1123399999999997"/>
    <n v="-7.4191204741183556"/>
    <x v="2"/>
    <n v="4.0027372690741014"/>
  </r>
  <r>
    <s v="usda"/>
    <x v="178"/>
    <n v="0.98303700000000005"/>
    <m/>
    <m/>
    <n v="-4.7730769083253341E-2"/>
    <x v="1"/>
    <n v="1.5910256361084448E-2"/>
  </r>
  <r>
    <s v="ff"/>
    <x v="179"/>
    <n v="9.035E-2"/>
    <n v="-8.1519674093067152E-2"/>
    <n v="2.7307199999999998"/>
    <n v="13.139190647468006"/>
    <x v="2"/>
    <n v="5.3171434405203577"/>
  </r>
  <r>
    <s v="axs"/>
    <x v="180"/>
    <n v="1.2"/>
    <n v="-0.42772206487220499"/>
    <n v="0.2586"/>
    <n v="-4.5043337213582637"/>
    <x v="1"/>
    <n v="1.7302185954101563"/>
  </r>
  <r>
    <s v="bsb"/>
    <x v="181"/>
    <n v="0.93042400000000003"/>
    <n v="-0.79547780202328666"/>
    <n v="15.293100000000001"/>
    <n v="129.29528660678614"/>
    <x v="1"/>
    <n v="48.461288136269808"/>
  </r>
  <r>
    <s v="ray"/>
    <x v="182"/>
    <n v="0.76845799999999997"/>
    <n v="-0.90660798781897445"/>
    <n v="3.5968499999999999"/>
    <n v="-1.0844685199332689"/>
    <x v="1"/>
    <n v="1.8626421692507478"/>
  </r>
  <r>
    <s v="neo"/>
    <x v="183"/>
    <n v="2.89"/>
    <n v="-0.16260815431483883"/>
    <n v="1.1685099999999999"/>
    <n v="-7.2877599562878173"/>
    <x v="1"/>
    <n v="2.8729593702008853"/>
  </r>
  <r>
    <s v="grass"/>
    <x v="184"/>
    <n v="0.34782600000000002"/>
    <n v="-0.5038008278453715"/>
    <n v="16.126799999999999"/>
    <n v="5.0957629691004964"/>
    <x v="2"/>
    <n v="7.2421212656486231"/>
  </r>
  <r>
    <s v="theta"/>
    <x v="185"/>
    <n v="0.203241"/>
    <n v="-0.87453888258106072"/>
    <n v="2.0936900000000001"/>
    <n v="-7.6419899559162312"/>
    <x v="2"/>
    <n v="3.5367396128324309"/>
  </r>
  <r>
    <s v="pc0000031"/>
    <x v="186"/>
    <n v="1"/>
    <n v="0"/>
    <n v="0"/>
    <n v="0"/>
    <x v="1"/>
    <n v="0"/>
  </r>
  <r>
    <s v="pieverse"/>
    <x v="187"/>
    <n v="0.74696399999999996"/>
    <n v="0.57632346678547186"/>
    <n v="2.0979000000000001"/>
    <n v="-28.694899713132511"/>
    <x v="1"/>
    <n v="10.456374393305994"/>
  </r>
  <r>
    <s v="bill"/>
    <x v="188"/>
    <n v="8.1731999999999999E-2"/>
    <n v="2.053190169349949"/>
    <n v="-27.224499999999999"/>
    <n v="-51.941091670988307"/>
    <x v="2"/>
    <n v="27.072927280112751"/>
  </r>
  <r>
    <s v="wif"/>
    <x v="189"/>
    <n v="0.19622300000000001"/>
    <n v="-0.53044355158678147"/>
    <n v="1.8666"/>
    <n v="-9.0071225599279394"/>
    <x v="2"/>
    <n v="3.8013887038382403"/>
  </r>
  <r>
    <s v="trac"/>
    <x v="190"/>
    <n v="0.439969"/>
    <n v="-3.6650378254042031"/>
    <n v="-0.79961000000000004"/>
    <n v="29.372409048940156"/>
    <x v="2"/>
    <n v="11.279018958114785"/>
  </r>
  <r>
    <s v="sand"/>
    <x v="191"/>
    <n v="7.2418999999999997E-2"/>
    <n v="-0.38325574458021366"/>
    <n v="1.44208"/>
    <n v="-6.1037682714714938"/>
    <x v="2"/>
    <n v="2.6430346720172357"/>
  </r>
  <r>
    <s v="twt"/>
    <x v="192"/>
    <n v="0.46341100000000002"/>
    <n v="-1.0515680697051739"/>
    <n v="0.45784999999999998"/>
    <n v="-8.0751598844182162"/>
    <x v="2"/>
    <n v="3.19485931804113"/>
  </r>
  <r>
    <s v="fartcoin"/>
    <x v="193"/>
    <n v="0.19168399999999999"/>
    <n v="-1.0280060505233499"/>
    <n v="3.6236999999999999"/>
    <n v="-10.506516801921236"/>
    <x v="2"/>
    <n v="5.0527409508148624"/>
  </r>
  <r>
    <s v="uds"/>
    <x v="194"/>
    <n v="1.51"/>
    <n v="-7.0580783258457416E-2"/>
    <n v="-0.75931999999999999"/>
    <n v="-2.0933953161405063"/>
    <x v="1"/>
    <n v="0.97443203313298798"/>
  </r>
  <r>
    <s v="btse"/>
    <x v="195"/>
    <n v="1.1499999999999999"/>
    <n v="-0.48562761328483611"/>
    <n v="1.96709"/>
    <n v="6.1040954573879143"/>
    <x v="1"/>
    <n v="2.852271023557583"/>
  </r>
  <r>
    <s v="xcn"/>
    <x v="196"/>
    <n v="4.7894599999999997E-3"/>
    <n v="-8.0085619634541722E-2"/>
    <n v="0.52346000000000004"/>
    <n v="-4.2133778240596405"/>
    <x v="4"/>
    <n v="1.6056411478980606"/>
  </r>
  <r>
    <s v="reusd"/>
    <x v="197"/>
    <n v="1.079"/>
    <n v="3.9852367650472558E-4"/>
    <n v="2.6919999999999999E-2"/>
    <n v="0.19969443738751713"/>
    <x v="1"/>
    <n v="7.5670987021340619E-2"/>
  </r>
  <r>
    <s v="apyusd"/>
    <x v="198"/>
    <n v="1.36"/>
    <n v="-9.2043837236484405E-2"/>
    <n v="6.0470000000000003E-2"/>
    <n v="0.2432015043838093"/>
    <x v="1"/>
    <n v="0.13190511387343123"/>
  </r>
  <r>
    <s v="onyc"/>
    <x v="199"/>
    <n v="1.1000000000000001"/>
    <n v="1.199410326652639E-2"/>
    <n v="-1.5769999999999999E-2"/>
    <n v="0.16971880334998318"/>
    <x v="1"/>
    <n v="6.5827635538836526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08C498-5188-4196-8D56-681840085C8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B16" firstHeaderRow="1" firstDataRow="1" firstDataCol="1" rowPageCount="1" colPageCount="1"/>
  <pivotFields count="13">
    <pivotField showAll="0"/>
    <pivotField axis="axisRow" showAll="0" measureFilter="1">
      <items count="201">
        <item x="78"/>
        <item x="100"/>
        <item x="59"/>
        <item x="120"/>
        <item x="122"/>
        <item x="159"/>
        <item x="174"/>
        <item x="67"/>
        <item x="170"/>
        <item x="80"/>
        <item x="105"/>
        <item x="198"/>
        <item x="87"/>
        <item x="114"/>
        <item x="47"/>
        <item x="27"/>
        <item x="180"/>
        <item x="91"/>
        <item x="60"/>
        <item x="188"/>
        <item x="0"/>
        <item x="16"/>
        <item x="149"/>
        <item x="57"/>
        <item x="35"/>
        <item x="142"/>
        <item x="38"/>
        <item x="181"/>
        <item x="73"/>
        <item x="3"/>
        <item x="97"/>
        <item x="195"/>
        <item x="150"/>
        <item x="19"/>
        <item x="15"/>
        <item x="128"/>
        <item x="18"/>
        <item x="112"/>
        <item x="34"/>
        <item x="176"/>
        <item x="151"/>
        <item x="66"/>
        <item x="33"/>
        <item x="175"/>
        <item x="131"/>
        <item x="25"/>
        <item x="90"/>
        <item x="148"/>
        <item x="89"/>
        <item x="9"/>
        <item x="189"/>
        <item x="124"/>
        <item x="106"/>
        <item x="74"/>
        <item x="23"/>
        <item x="136"/>
        <item x="1"/>
        <item x="58"/>
        <item x="165"/>
        <item x="164"/>
        <item x="115"/>
        <item x="179"/>
        <item x="49"/>
        <item x="193"/>
        <item x="8"/>
        <item x="82"/>
        <item x="126"/>
        <item x="84"/>
        <item x="153"/>
        <item x="83"/>
        <item x="93"/>
        <item x="37"/>
        <item x="144"/>
        <item x="184"/>
        <item x="28"/>
        <item x="48"/>
        <item x="110"/>
        <item x="10"/>
        <item x="104"/>
        <item x="56"/>
        <item x="167"/>
        <item x="116"/>
        <item x="70"/>
        <item x="156"/>
        <item x="171"/>
        <item x="86"/>
        <item x="79"/>
        <item x="145"/>
        <item x="75"/>
        <item x="134"/>
        <item x="158"/>
        <item x="98"/>
        <item x="63"/>
        <item x="137"/>
        <item x="133"/>
        <item x="163"/>
        <item x="14"/>
        <item x="147"/>
        <item x="132"/>
        <item x="26"/>
        <item x="41"/>
        <item x="172"/>
        <item x="169"/>
        <item x="29"/>
        <item x="102"/>
        <item x="141"/>
        <item x="17"/>
        <item x="61"/>
        <item x="40"/>
        <item x="183"/>
        <item x="77"/>
        <item x="129"/>
        <item x="107"/>
        <item x="51"/>
        <item x="157"/>
        <item x="199"/>
        <item x="45"/>
        <item x="42"/>
        <item x="196"/>
        <item x="161"/>
        <item x="190"/>
        <item x="95"/>
        <item x="109"/>
        <item x="44"/>
        <item x="30"/>
        <item x="143"/>
        <item x="54"/>
        <item x="53"/>
        <item x="187"/>
        <item x="177"/>
        <item x="72"/>
        <item x="43"/>
        <item x="146"/>
        <item x="99"/>
        <item x="92"/>
        <item x="88"/>
        <item x="139"/>
        <item x="64"/>
        <item x="31"/>
        <item x="182"/>
        <item x="197"/>
        <item x="173"/>
        <item x="69"/>
        <item x="50"/>
        <item x="168"/>
        <item x="119"/>
        <item x="32"/>
        <item x="127"/>
        <item x="52"/>
        <item x="135"/>
        <item x="6"/>
        <item x="118"/>
        <item x="65"/>
        <item x="130"/>
        <item x="111"/>
        <item x="160"/>
        <item x="21"/>
        <item x="24"/>
        <item x="123"/>
        <item x="71"/>
        <item x="152"/>
        <item x="117"/>
        <item x="2"/>
        <item x="36"/>
        <item x="125"/>
        <item x="162"/>
        <item x="191"/>
        <item x="140"/>
        <item x="185"/>
        <item x="20"/>
        <item x="186"/>
        <item x="7"/>
        <item x="103"/>
        <item x="192"/>
        <item x="194"/>
        <item x="166"/>
        <item x="39"/>
        <item x="68"/>
        <item x="22"/>
        <item x="178"/>
        <item x="155"/>
        <item x="5"/>
        <item x="55"/>
        <item x="138"/>
        <item x="13"/>
        <item x="62"/>
        <item x="96"/>
        <item x="121"/>
        <item x="94"/>
        <item x="81"/>
        <item x="108"/>
        <item x="11"/>
        <item x="46"/>
        <item x="76"/>
        <item x="85"/>
        <item x="4"/>
        <item x="101"/>
        <item x="12"/>
        <item x="154"/>
        <item x="113"/>
        <item t="default"/>
      </items>
    </pivotField>
    <pivotField showAll="0"/>
    <pivotField showAll="0"/>
    <pivotField dataField="1" showAll="0">
      <items count="193">
        <item x="38"/>
        <item x="171"/>
        <item x="94"/>
        <item x="127"/>
        <item x="95"/>
        <item x="150"/>
        <item x="148"/>
        <item x="186"/>
        <item x="34"/>
        <item x="49"/>
        <item x="114"/>
        <item x="190"/>
        <item x="14"/>
        <item x="139"/>
        <item x="156"/>
        <item x="191"/>
        <item x="151"/>
        <item x="42"/>
        <item x="91"/>
        <item x="145"/>
        <item x="113"/>
        <item x="96"/>
        <item x="55"/>
        <item x="79"/>
        <item x="62"/>
        <item x="63"/>
        <item x="137"/>
        <item x="80"/>
        <item x="141"/>
        <item x="89"/>
        <item x="60"/>
        <item x="188"/>
        <item x="157"/>
        <item x="162"/>
        <item x="13"/>
        <item x="135"/>
        <item x="133"/>
        <item x="160"/>
        <item x="176"/>
        <item x="142"/>
        <item x="100"/>
        <item x="123"/>
        <item x="73"/>
        <item x="152"/>
        <item x="106"/>
        <item x="131"/>
        <item x="184"/>
        <item x="147"/>
        <item x="166"/>
        <item x="144"/>
        <item x="187"/>
        <item x="120"/>
        <item x="178"/>
        <item x="29"/>
        <item x="179"/>
        <item x="98"/>
        <item x="101"/>
        <item x="64"/>
        <item x="51"/>
        <item x="33"/>
        <item x="169"/>
        <item x="189"/>
        <item x="19"/>
        <item x="85"/>
        <item x="149"/>
        <item x="71"/>
        <item x="52"/>
        <item x="90"/>
        <item x="118"/>
        <item x="67"/>
        <item x="87"/>
        <item x="155"/>
        <item x="177"/>
        <item x="167"/>
        <item x="183"/>
        <item x="165"/>
        <item x="53"/>
        <item x="57"/>
        <item x="159"/>
        <item x="74"/>
        <item x="108"/>
        <item x="158"/>
        <item x="172"/>
        <item x="61"/>
        <item x="138"/>
        <item x="173"/>
        <item x="115"/>
        <item x="168"/>
        <item x="31"/>
        <item x="132"/>
        <item x="140"/>
        <item x="126"/>
        <item x="146"/>
        <item x="129"/>
        <item x="8"/>
        <item x="185"/>
        <item x="119"/>
        <item x="104"/>
        <item x="111"/>
        <item x="181"/>
        <item x="30"/>
        <item x="112"/>
        <item x="117"/>
        <item x="58"/>
        <item x="124"/>
        <item x="93"/>
        <item x="175"/>
        <item x="46"/>
        <item x="81"/>
        <item x="75"/>
        <item x="92"/>
        <item x="66"/>
        <item x="65"/>
        <item x="163"/>
        <item x="110"/>
        <item x="121"/>
        <item x="41"/>
        <item x="153"/>
        <item x="143"/>
        <item x="82"/>
        <item x="11"/>
        <item x="28"/>
        <item x="170"/>
        <item x="69"/>
        <item x="56"/>
        <item x="128"/>
        <item x="84"/>
        <item x="109"/>
        <item x="76"/>
        <item x="130"/>
        <item x="134"/>
        <item x="154"/>
        <item x="83"/>
        <item x="103"/>
        <item x="136"/>
        <item x="182"/>
        <item x="116"/>
        <item x="23"/>
        <item x="37"/>
        <item x="32"/>
        <item x="102"/>
        <item x="68"/>
        <item x="70"/>
        <item x="78"/>
        <item x="97"/>
        <item x="107"/>
        <item x="21"/>
        <item x="48"/>
        <item x="125"/>
        <item x="122"/>
        <item x="99"/>
        <item x="180"/>
        <item x="77"/>
        <item x="43"/>
        <item x="72"/>
        <item x="164"/>
        <item x="50"/>
        <item x="44"/>
        <item x="161"/>
        <item x="174"/>
        <item x="88"/>
        <item x="54"/>
        <item x="17"/>
        <item x="59"/>
        <item x="39"/>
        <item x="47"/>
        <item x="25"/>
        <item x="27"/>
        <item x="36"/>
        <item x="35"/>
        <item x="26"/>
        <item x="105"/>
        <item x="86"/>
        <item x="45"/>
        <item x="18"/>
        <item x="15"/>
        <item x="20"/>
        <item x="16"/>
        <item x="40"/>
        <item x="7"/>
        <item x="3"/>
        <item x="9"/>
        <item x="24"/>
        <item x="12"/>
        <item x="10"/>
        <item x="4"/>
        <item x="22"/>
        <item x="6"/>
        <item x="1"/>
        <item x="5"/>
        <item x="0"/>
        <item x="2"/>
        <item t="default"/>
      </items>
    </pivotField>
    <pivotField showAll="0"/>
    <pivotField showAll="0"/>
    <pivotField showAll="0"/>
    <pivotField showAll="0"/>
    <pivotField showAll="0"/>
    <pivotField axis="axisPage" showAll="0">
      <items count="3">
        <item x="1"/>
        <item x="0"/>
        <item t="default"/>
      </items>
    </pivotField>
    <pivotField showAll="0"/>
    <pivotField showAll="0"/>
  </pivotFields>
  <rowFields count="1">
    <field x="1"/>
  </rowFields>
  <rowItems count="11">
    <i>
      <x v="20"/>
    </i>
    <i>
      <x v="21"/>
    </i>
    <i>
      <x v="29"/>
    </i>
    <i>
      <x v="34"/>
    </i>
    <i>
      <x v="36"/>
    </i>
    <i>
      <x v="49"/>
    </i>
    <i>
      <x v="56"/>
    </i>
    <i>
      <x v="116"/>
    </i>
    <i>
      <x v="178"/>
    </i>
    <i>
      <x v="181"/>
    </i>
    <i t="grand">
      <x/>
    </i>
  </rowItems>
  <colItems count="1">
    <i/>
  </colItems>
  <pageFields count="1">
    <pageField fld="10" item="1" hier="-1"/>
  </pageFields>
  <dataFields count="1">
    <dataField name="Sum of Volume_24h" fld="4" baseField="0" baseItem="0"/>
  </dataFields>
  <chartFormats count="2">
    <chartFormat chart="0"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505F60-4581-4664-8B3C-20E5B5287C8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rowPageCount="1" colPageCount="1"/>
  <pivotFields count="13">
    <pivotField showAll="0"/>
    <pivotField axis="axisRow" showAll="0" measureFilter="1">
      <items count="201">
        <item x="78"/>
        <item x="100"/>
        <item x="59"/>
        <item x="120"/>
        <item x="122"/>
        <item x="159"/>
        <item x="174"/>
        <item x="67"/>
        <item x="170"/>
        <item x="80"/>
        <item x="105"/>
        <item x="198"/>
        <item x="87"/>
        <item x="114"/>
        <item x="47"/>
        <item x="27"/>
        <item x="180"/>
        <item x="91"/>
        <item x="60"/>
        <item x="188"/>
        <item x="0"/>
        <item x="16"/>
        <item x="149"/>
        <item x="57"/>
        <item x="35"/>
        <item x="142"/>
        <item x="38"/>
        <item x="181"/>
        <item x="73"/>
        <item x="3"/>
        <item x="97"/>
        <item x="195"/>
        <item x="150"/>
        <item x="19"/>
        <item x="15"/>
        <item x="128"/>
        <item x="18"/>
        <item x="112"/>
        <item x="34"/>
        <item x="176"/>
        <item x="151"/>
        <item x="66"/>
        <item x="33"/>
        <item x="175"/>
        <item x="131"/>
        <item x="25"/>
        <item x="90"/>
        <item x="148"/>
        <item x="89"/>
        <item x="9"/>
        <item x="189"/>
        <item x="124"/>
        <item x="106"/>
        <item x="74"/>
        <item x="23"/>
        <item x="136"/>
        <item x="1"/>
        <item x="58"/>
        <item x="165"/>
        <item x="164"/>
        <item x="115"/>
        <item x="179"/>
        <item x="49"/>
        <item x="193"/>
        <item x="8"/>
        <item x="82"/>
        <item x="126"/>
        <item x="84"/>
        <item x="153"/>
        <item x="83"/>
        <item x="93"/>
        <item x="37"/>
        <item x="144"/>
        <item x="184"/>
        <item x="28"/>
        <item x="48"/>
        <item x="110"/>
        <item x="10"/>
        <item x="104"/>
        <item x="56"/>
        <item x="167"/>
        <item x="116"/>
        <item x="70"/>
        <item x="156"/>
        <item x="171"/>
        <item x="86"/>
        <item x="79"/>
        <item x="145"/>
        <item x="75"/>
        <item x="134"/>
        <item x="158"/>
        <item x="98"/>
        <item x="63"/>
        <item x="137"/>
        <item x="133"/>
        <item x="163"/>
        <item x="14"/>
        <item x="147"/>
        <item x="132"/>
        <item x="26"/>
        <item x="41"/>
        <item x="172"/>
        <item x="169"/>
        <item x="29"/>
        <item x="102"/>
        <item x="141"/>
        <item x="17"/>
        <item x="61"/>
        <item x="40"/>
        <item x="183"/>
        <item x="77"/>
        <item x="129"/>
        <item x="107"/>
        <item x="51"/>
        <item x="157"/>
        <item x="199"/>
        <item x="45"/>
        <item x="42"/>
        <item x="196"/>
        <item x="161"/>
        <item x="190"/>
        <item x="95"/>
        <item x="109"/>
        <item x="44"/>
        <item x="30"/>
        <item x="143"/>
        <item x="54"/>
        <item x="53"/>
        <item x="187"/>
        <item x="177"/>
        <item x="72"/>
        <item x="43"/>
        <item x="146"/>
        <item x="99"/>
        <item x="92"/>
        <item x="88"/>
        <item x="139"/>
        <item x="64"/>
        <item x="31"/>
        <item x="182"/>
        <item x="197"/>
        <item x="173"/>
        <item x="69"/>
        <item x="50"/>
        <item x="168"/>
        <item x="119"/>
        <item x="32"/>
        <item x="127"/>
        <item x="52"/>
        <item x="135"/>
        <item x="6"/>
        <item x="118"/>
        <item x="65"/>
        <item x="130"/>
        <item x="111"/>
        <item x="160"/>
        <item x="21"/>
        <item x="24"/>
        <item x="123"/>
        <item x="71"/>
        <item x="152"/>
        <item x="117"/>
        <item x="2"/>
        <item x="36"/>
        <item x="125"/>
        <item x="162"/>
        <item x="191"/>
        <item x="140"/>
        <item x="185"/>
        <item x="20"/>
        <item x="186"/>
        <item x="7"/>
        <item x="103"/>
        <item x="192"/>
        <item x="194"/>
        <item x="166"/>
        <item x="39"/>
        <item x="68"/>
        <item x="22"/>
        <item x="178"/>
        <item x="155"/>
        <item x="5"/>
        <item x="55"/>
        <item x="138"/>
        <item x="13"/>
        <item x="62"/>
        <item x="96"/>
        <item x="121"/>
        <item x="94"/>
        <item x="81"/>
        <item x="108"/>
        <item x="11"/>
        <item x="46"/>
        <item x="76"/>
        <item x="85"/>
        <item x="4"/>
        <item x="101"/>
        <item x="12"/>
        <item x="154"/>
        <item x="113"/>
        <item t="default"/>
      </items>
    </pivotField>
    <pivotField showAll="0"/>
    <pivotField showAll="0"/>
    <pivotField dataField="1" showAll="0"/>
    <pivotField showAll="0"/>
    <pivotField showAll="0"/>
    <pivotField showAll="0"/>
    <pivotField showAll="0"/>
    <pivotField showAll="0"/>
    <pivotField showAll="0"/>
    <pivotField axis="axisPage" multipleItemSelectionAllowed="1" showAll="0">
      <items count="6">
        <item x="0"/>
        <item x="2"/>
        <item x="1"/>
        <item x="4"/>
        <item x="3"/>
        <item t="default"/>
      </items>
    </pivotField>
    <pivotField showAll="0"/>
  </pivotFields>
  <rowFields count="1">
    <field x="1"/>
  </rowFields>
  <rowItems count="11">
    <i>
      <x v="20"/>
    </i>
    <i>
      <x v="56"/>
    </i>
    <i>
      <x v="77"/>
    </i>
    <i>
      <x v="150"/>
    </i>
    <i>
      <x v="157"/>
    </i>
    <i>
      <x v="162"/>
    </i>
    <i>
      <x v="178"/>
    </i>
    <i>
      <x v="181"/>
    </i>
    <i>
      <x v="195"/>
    </i>
    <i>
      <x v="197"/>
    </i>
    <i t="grand">
      <x/>
    </i>
  </rowItems>
  <colItems count="1">
    <i/>
  </colItems>
  <pageFields count="1">
    <pageField fld="11" hier="-1"/>
  </pageFields>
  <dataFields count="1">
    <dataField name="Sum of Volume_24h" fld="4" baseField="0" baseItem="0"/>
  </dataField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78CA16-C3FB-413F-87AB-9B5D7BBC0F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174" firstHeaderRow="1" firstDataRow="1" firstDataCol="1"/>
  <pivotFields count="7">
    <pivotField axis="axisRow" showAll="0">
      <items count="201">
        <item x="123"/>
        <item x="141"/>
        <item x="124"/>
        <item x="140"/>
        <item x="100"/>
        <item x="59"/>
        <item x="15"/>
        <item x="120"/>
        <item x="122"/>
        <item x="174"/>
        <item x="67"/>
        <item x="170"/>
        <item x="80"/>
        <item x="105"/>
        <item x="198"/>
        <item x="87"/>
        <item x="47"/>
        <item x="66"/>
        <item x="27"/>
        <item x="180"/>
        <item x="150"/>
        <item x="73"/>
        <item x="16"/>
        <item x="91"/>
        <item x="60"/>
        <item x="57"/>
        <item x="188"/>
        <item x="3"/>
        <item x="97"/>
        <item x="181"/>
        <item x="149"/>
        <item x="0"/>
        <item x="195"/>
        <item x="142"/>
        <item x="38"/>
        <item x="109"/>
        <item x="19"/>
        <item x="151"/>
        <item x="112"/>
        <item x="176"/>
        <item x="33"/>
        <item x="131"/>
        <item x="175"/>
        <item x="25"/>
        <item x="90"/>
        <item x="148"/>
        <item x="89"/>
        <item x="9"/>
        <item x="43"/>
        <item x="106"/>
        <item x="74"/>
        <item x="165"/>
        <item x="58"/>
        <item x="1"/>
        <item x="136"/>
        <item x="115"/>
        <item x="118"/>
        <item x="65"/>
        <item x="193"/>
        <item x="126"/>
        <item x="114"/>
        <item x="179"/>
        <item x="8"/>
        <item x="82"/>
        <item x="153"/>
        <item x="84"/>
        <item x="163"/>
        <item x="93"/>
        <item x="144"/>
        <item x="184"/>
        <item x="162"/>
        <item x="83"/>
        <item x="164"/>
        <item x="110"/>
        <item x="99"/>
        <item x="28"/>
        <item x="48"/>
        <item x="10"/>
        <item x="56"/>
        <item x="104"/>
        <item x="167"/>
        <item x="116"/>
        <item x="156"/>
        <item x="79"/>
        <item x="171"/>
        <item x="70"/>
        <item x="86"/>
        <item x="158"/>
        <item x="145"/>
        <item x="75"/>
        <item x="134"/>
        <item x="63"/>
        <item x="98"/>
        <item x="137"/>
        <item x="147"/>
        <item x="14"/>
        <item x="18"/>
        <item x="132"/>
        <item x="26"/>
        <item x="117"/>
        <item x="29"/>
        <item x="41"/>
        <item x="61"/>
        <item x="40"/>
        <item x="183"/>
        <item x="129"/>
        <item x="77"/>
        <item x="159"/>
        <item x="102"/>
        <item x="157"/>
        <item x="51"/>
        <item x="45"/>
        <item x="199"/>
        <item x="161"/>
        <item x="95"/>
        <item x="44"/>
        <item x="186"/>
        <item x="143"/>
        <item x="92"/>
        <item x="54"/>
        <item x="53"/>
        <item x="187"/>
        <item x="72"/>
        <item x="146"/>
        <item x="88"/>
        <item x="139"/>
        <item x="30"/>
        <item x="64"/>
        <item x="31"/>
        <item x="182"/>
        <item x="173"/>
        <item x="69"/>
        <item x="197"/>
        <item x="50"/>
        <item x="168"/>
        <item x="191"/>
        <item x="119"/>
        <item x="32"/>
        <item x="127"/>
        <item x="52"/>
        <item x="135"/>
        <item x="6"/>
        <item x="130"/>
        <item x="78"/>
        <item x="160"/>
        <item x="111"/>
        <item x="24"/>
        <item x="172"/>
        <item x="35"/>
        <item x="152"/>
        <item x="185"/>
        <item x="128"/>
        <item x="20"/>
        <item x="190"/>
        <item x="107"/>
        <item x="7"/>
        <item x="103"/>
        <item x="192"/>
        <item x="68"/>
        <item x="166"/>
        <item x="194"/>
        <item x="39"/>
        <item x="96"/>
        <item x="22"/>
        <item x="178"/>
        <item x="155"/>
        <item x="5"/>
        <item x="55"/>
        <item x="23"/>
        <item x="49"/>
        <item x="37"/>
        <item x="138"/>
        <item x="169"/>
        <item x="13"/>
        <item x="2"/>
        <item x="62"/>
        <item x="42"/>
        <item x="71"/>
        <item x="121"/>
        <item x="34"/>
        <item x="94"/>
        <item x="108"/>
        <item x="81"/>
        <item x="11"/>
        <item x="189"/>
        <item x="76"/>
        <item x="46"/>
        <item x="36"/>
        <item x="196"/>
        <item x="85"/>
        <item x="21"/>
        <item x="17"/>
        <item x="177"/>
        <item x="4"/>
        <item x="125"/>
        <item x="101"/>
        <item x="154"/>
        <item x="12"/>
        <item x="133"/>
        <item x="113"/>
        <item t="default"/>
      </items>
    </pivotField>
    <pivotField showAll="0"/>
    <pivotField showAll="0"/>
    <pivotField showAll="0"/>
    <pivotField showAll="0">
      <items count="3">
        <item h="1" x="0"/>
        <item x="1"/>
        <item t="default"/>
      </items>
    </pivotField>
    <pivotField showAll="0"/>
    <pivotField dataField="1" showAll="0"/>
  </pivotFields>
  <rowFields count="1">
    <field x="0"/>
  </rowFields>
  <rowItems count="171">
    <i>
      <x/>
    </i>
    <i>
      <x v="1"/>
    </i>
    <i>
      <x v="2"/>
    </i>
    <i>
      <x v="3"/>
    </i>
    <i>
      <x v="4"/>
    </i>
    <i>
      <x v="6"/>
    </i>
    <i>
      <x v="7"/>
    </i>
    <i>
      <x v="8"/>
    </i>
    <i>
      <x v="9"/>
    </i>
    <i>
      <x v="10"/>
    </i>
    <i>
      <x v="11"/>
    </i>
    <i>
      <x v="12"/>
    </i>
    <i>
      <x v="13"/>
    </i>
    <i>
      <x v="14"/>
    </i>
    <i>
      <x v="15"/>
    </i>
    <i>
      <x v="16"/>
    </i>
    <i>
      <x v="17"/>
    </i>
    <i>
      <x v="18"/>
    </i>
    <i>
      <x v="19"/>
    </i>
    <i>
      <x v="20"/>
    </i>
    <i>
      <x v="23"/>
    </i>
    <i>
      <x v="24"/>
    </i>
    <i>
      <x v="25"/>
    </i>
    <i>
      <x v="26"/>
    </i>
    <i>
      <x v="28"/>
    </i>
    <i>
      <x v="29"/>
    </i>
    <i>
      <x v="32"/>
    </i>
    <i>
      <x v="33"/>
    </i>
    <i>
      <x v="34"/>
    </i>
    <i>
      <x v="35"/>
    </i>
    <i>
      <x v="36"/>
    </i>
    <i>
      <x v="37"/>
    </i>
    <i>
      <x v="38"/>
    </i>
    <i>
      <x v="40"/>
    </i>
    <i>
      <x v="41"/>
    </i>
    <i>
      <x v="42"/>
    </i>
    <i>
      <x v="43"/>
    </i>
    <i>
      <x v="47"/>
    </i>
    <i>
      <x v="48"/>
    </i>
    <i>
      <x v="49"/>
    </i>
    <i>
      <x v="50"/>
    </i>
    <i>
      <x v="51"/>
    </i>
    <i>
      <x v="52"/>
    </i>
    <i>
      <x v="54"/>
    </i>
    <i>
      <x v="55"/>
    </i>
    <i>
      <x v="56"/>
    </i>
    <i>
      <x v="57"/>
    </i>
    <i>
      <x v="58"/>
    </i>
    <i>
      <x v="59"/>
    </i>
    <i>
      <x v="60"/>
    </i>
    <i>
      <x v="61"/>
    </i>
    <i>
      <x v="62"/>
    </i>
    <i>
      <x v="63"/>
    </i>
    <i>
      <x v="64"/>
    </i>
    <i>
      <x v="65"/>
    </i>
    <i>
      <x v="66"/>
    </i>
    <i>
      <x v="67"/>
    </i>
    <i>
      <x v="69"/>
    </i>
    <i>
      <x v="70"/>
    </i>
    <i>
      <x v="71"/>
    </i>
    <i>
      <x v="72"/>
    </i>
    <i>
      <x v="73"/>
    </i>
    <i>
      <x v="74"/>
    </i>
    <i>
      <x v="75"/>
    </i>
    <i>
      <x v="76"/>
    </i>
    <i>
      <x v="78"/>
    </i>
    <i>
      <x v="79"/>
    </i>
    <i>
      <x v="80"/>
    </i>
    <i>
      <x v="81"/>
    </i>
    <i>
      <x v="82"/>
    </i>
    <i>
      <x v="83"/>
    </i>
    <i>
      <x v="84"/>
    </i>
    <i>
      <x v="85"/>
    </i>
    <i>
      <x v="86"/>
    </i>
    <i>
      <x v="88"/>
    </i>
    <i>
      <x v="89"/>
    </i>
    <i>
      <x v="91"/>
    </i>
    <i>
      <x v="92"/>
    </i>
    <i>
      <x v="93"/>
    </i>
    <i>
      <x v="94"/>
    </i>
    <i>
      <x v="96"/>
    </i>
    <i>
      <x v="97"/>
    </i>
    <i>
      <x v="99"/>
    </i>
    <i>
      <x v="100"/>
    </i>
    <i>
      <x v="101"/>
    </i>
    <i>
      <x v="102"/>
    </i>
    <i>
      <x v="103"/>
    </i>
    <i>
      <x v="104"/>
    </i>
    <i>
      <x v="105"/>
    </i>
    <i>
      <x v="106"/>
    </i>
    <i>
      <x v="107"/>
    </i>
    <i>
      <x v="108"/>
    </i>
    <i>
      <x v="111"/>
    </i>
    <i>
      <x v="112"/>
    </i>
    <i>
      <x v="113"/>
    </i>
    <i>
      <x v="116"/>
    </i>
    <i>
      <x v="117"/>
    </i>
    <i>
      <x v="118"/>
    </i>
    <i>
      <x v="119"/>
    </i>
    <i>
      <x v="120"/>
    </i>
    <i>
      <x v="121"/>
    </i>
    <i>
      <x v="122"/>
    </i>
    <i>
      <x v="123"/>
    </i>
    <i>
      <x v="124"/>
    </i>
    <i>
      <x v="125"/>
    </i>
    <i>
      <x v="126"/>
    </i>
    <i>
      <x v="128"/>
    </i>
    <i>
      <x v="129"/>
    </i>
    <i>
      <x v="130"/>
    </i>
    <i>
      <x v="131"/>
    </i>
    <i>
      <x v="132"/>
    </i>
    <i>
      <x v="133"/>
    </i>
    <i>
      <x v="134"/>
    </i>
    <i>
      <x v="135"/>
    </i>
    <i>
      <x v="136"/>
    </i>
    <i>
      <x v="137"/>
    </i>
    <i>
      <x v="138"/>
    </i>
    <i>
      <x v="139"/>
    </i>
    <i>
      <x v="140"/>
    </i>
    <i>
      <x v="142"/>
    </i>
    <i>
      <x v="143"/>
    </i>
    <i>
      <x v="144"/>
    </i>
    <i>
      <x v="145"/>
    </i>
    <i>
      <x v="146"/>
    </i>
    <i>
      <x v="147"/>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8"/>
    </i>
    <i>
      <x v="179"/>
    </i>
    <i>
      <x v="180"/>
    </i>
    <i>
      <x v="181"/>
    </i>
    <i>
      <x v="184"/>
    </i>
    <i>
      <x v="185"/>
    </i>
    <i>
      <x v="186"/>
    </i>
    <i>
      <x v="188"/>
    </i>
    <i>
      <x v="189"/>
    </i>
    <i>
      <x v="190"/>
    </i>
    <i>
      <x v="192"/>
    </i>
    <i>
      <x v="193"/>
    </i>
    <i>
      <x v="194"/>
    </i>
    <i>
      <x v="195"/>
    </i>
    <i>
      <x v="196"/>
    </i>
    <i>
      <x v="198"/>
    </i>
    <i>
      <x v="199"/>
    </i>
    <i t="grand">
      <x/>
    </i>
  </rowItems>
  <colItems count="1">
    <i/>
  </colItems>
  <dataFields count="1">
    <dataField name="Sum of Price_Chang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E7A7E2-2233-4F68-A76B-38B5B1481FD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D14" firstHeaderRow="0" firstDataRow="1" firstDataCol="1" rowPageCount="1" colPageCount="1"/>
  <pivotFields count="7">
    <pivotField showAll="0"/>
    <pivotField axis="axisRow" showAll="0" measureFilter="1" sortType="descending">
      <items count="201">
        <item x="78"/>
        <item x="100"/>
        <item x="59"/>
        <item x="120"/>
        <item x="122"/>
        <item x="159"/>
        <item x="174"/>
        <item x="67"/>
        <item x="170"/>
        <item x="80"/>
        <item x="105"/>
        <item x="198"/>
        <item x="87"/>
        <item x="114"/>
        <item x="47"/>
        <item x="27"/>
        <item x="180"/>
        <item x="91"/>
        <item x="60"/>
        <item x="188"/>
        <item x="0"/>
        <item x="16"/>
        <item x="149"/>
        <item x="57"/>
        <item x="35"/>
        <item x="142"/>
        <item x="38"/>
        <item x="181"/>
        <item x="73"/>
        <item x="3"/>
        <item x="97"/>
        <item x="195"/>
        <item x="150"/>
        <item x="19"/>
        <item x="15"/>
        <item x="128"/>
        <item x="18"/>
        <item x="112"/>
        <item x="34"/>
        <item x="176"/>
        <item x="151"/>
        <item x="66"/>
        <item x="33"/>
        <item x="175"/>
        <item x="131"/>
        <item x="25"/>
        <item x="90"/>
        <item x="148"/>
        <item x="89"/>
        <item x="9"/>
        <item x="189"/>
        <item x="124"/>
        <item x="106"/>
        <item x="74"/>
        <item x="23"/>
        <item x="136"/>
        <item x="1"/>
        <item x="58"/>
        <item x="165"/>
        <item x="164"/>
        <item x="115"/>
        <item x="179"/>
        <item x="49"/>
        <item x="193"/>
        <item x="8"/>
        <item x="82"/>
        <item x="126"/>
        <item x="84"/>
        <item x="153"/>
        <item x="83"/>
        <item x="93"/>
        <item x="37"/>
        <item x="144"/>
        <item x="184"/>
        <item x="28"/>
        <item x="48"/>
        <item x="110"/>
        <item x="10"/>
        <item x="104"/>
        <item x="56"/>
        <item x="167"/>
        <item x="116"/>
        <item x="70"/>
        <item x="156"/>
        <item x="171"/>
        <item x="86"/>
        <item x="79"/>
        <item x="145"/>
        <item x="75"/>
        <item x="134"/>
        <item x="158"/>
        <item x="98"/>
        <item x="63"/>
        <item x="137"/>
        <item x="133"/>
        <item x="163"/>
        <item x="14"/>
        <item x="147"/>
        <item x="132"/>
        <item x="26"/>
        <item x="41"/>
        <item x="172"/>
        <item x="169"/>
        <item x="29"/>
        <item x="102"/>
        <item x="141"/>
        <item x="17"/>
        <item x="61"/>
        <item x="40"/>
        <item x="183"/>
        <item x="77"/>
        <item x="129"/>
        <item x="107"/>
        <item x="51"/>
        <item x="157"/>
        <item x="199"/>
        <item x="45"/>
        <item x="42"/>
        <item x="196"/>
        <item x="161"/>
        <item x="190"/>
        <item x="95"/>
        <item x="109"/>
        <item x="44"/>
        <item x="30"/>
        <item x="143"/>
        <item x="54"/>
        <item x="53"/>
        <item x="187"/>
        <item x="177"/>
        <item x="72"/>
        <item x="43"/>
        <item x="146"/>
        <item x="99"/>
        <item x="92"/>
        <item x="88"/>
        <item x="139"/>
        <item x="64"/>
        <item x="31"/>
        <item x="182"/>
        <item x="197"/>
        <item x="173"/>
        <item x="69"/>
        <item x="50"/>
        <item x="168"/>
        <item x="119"/>
        <item x="32"/>
        <item x="127"/>
        <item x="52"/>
        <item x="135"/>
        <item x="6"/>
        <item x="118"/>
        <item x="65"/>
        <item x="130"/>
        <item x="111"/>
        <item x="160"/>
        <item x="21"/>
        <item x="24"/>
        <item x="123"/>
        <item x="71"/>
        <item x="152"/>
        <item x="117"/>
        <item x="2"/>
        <item x="36"/>
        <item x="125"/>
        <item x="162"/>
        <item x="191"/>
        <item x="140"/>
        <item x="185"/>
        <item x="20"/>
        <item x="186"/>
        <item x="7"/>
        <item x="103"/>
        <item x="192"/>
        <item x="194"/>
        <item x="166"/>
        <item x="39"/>
        <item x="68"/>
        <item x="22"/>
        <item x="178"/>
        <item x="155"/>
        <item x="5"/>
        <item x="55"/>
        <item x="138"/>
        <item x="13"/>
        <item x="62"/>
        <item x="96"/>
        <item x="121"/>
        <item x="94"/>
        <item x="81"/>
        <item x="108"/>
        <item x="11"/>
        <item x="46"/>
        <item x="76"/>
        <item x="85"/>
        <item x="4"/>
        <item x="101"/>
        <item x="12"/>
        <item x="154"/>
        <item x="113"/>
        <item t="default"/>
      </items>
      <autoSortScope>
        <pivotArea dataOnly="0" outline="0" fieldPosition="0">
          <references count="1">
            <reference field="4294967294" count="1" selected="0">
              <x v="2"/>
            </reference>
          </references>
        </pivotArea>
      </autoSortScope>
    </pivotField>
    <pivotField dataField="1" showAll="0"/>
    <pivotField showAll="0"/>
    <pivotField axis="axisPage" showAll="0">
      <items count="3">
        <item x="0"/>
        <item x="1"/>
        <item t="default"/>
      </items>
    </pivotField>
    <pivotField dataField="1" showAll="0"/>
    <pivotField dataField="1" showAll="0"/>
  </pivotFields>
  <rowFields count="1">
    <field x="1"/>
  </rowFields>
  <rowItems count="11">
    <i>
      <x v="98"/>
    </i>
    <i>
      <x v="14"/>
    </i>
    <i>
      <x v="92"/>
    </i>
    <i>
      <x v="52"/>
    </i>
    <i>
      <x v="117"/>
    </i>
    <i>
      <x v="128"/>
    </i>
    <i>
      <x v="180"/>
    </i>
    <i>
      <x v="199"/>
    </i>
    <i>
      <x v="3"/>
    </i>
    <i>
      <x v="101"/>
    </i>
    <i t="grand">
      <x/>
    </i>
  </rowItems>
  <colFields count="1">
    <field x="-2"/>
  </colFields>
  <colItems count="3">
    <i>
      <x/>
    </i>
    <i i="1">
      <x v="1"/>
    </i>
    <i i="2">
      <x v="2"/>
    </i>
  </colItems>
  <pageFields count="1">
    <pageField fld="4" item="1" hier="-1"/>
  </pageFields>
  <dataFields count="3">
    <dataField name="Sum of Current_price" fld="2" baseField="0" baseItem="0"/>
    <dataField name="Sum of Previous_1h_Price" fld="5" baseField="0" baseItem="0"/>
    <dataField name="Sum of Price_Change" fld="6"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1" type="count" evalOrder="-1" id="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ED3511-0F69-42C5-A8A9-C63AEA08C8F9}"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4" firstHeaderRow="0" firstDataRow="1" firstDataCol="1" rowPageCount="1" colPageCount="1"/>
  <pivotFields count="9">
    <pivotField showAll="0"/>
    <pivotField axis="axisRow" showAll="0" measureFilter="1" sortType="descending">
      <items count="201">
        <item x="78"/>
        <item x="100"/>
        <item x="59"/>
        <item x="120"/>
        <item x="122"/>
        <item x="159"/>
        <item x="174"/>
        <item x="67"/>
        <item x="170"/>
        <item x="80"/>
        <item x="105"/>
        <item x="198"/>
        <item x="87"/>
        <item x="114"/>
        <item x="47"/>
        <item x="27"/>
        <item x="180"/>
        <item x="91"/>
        <item x="60"/>
        <item x="188"/>
        <item x="0"/>
        <item x="16"/>
        <item x="149"/>
        <item x="57"/>
        <item x="35"/>
        <item x="142"/>
        <item x="38"/>
        <item x="181"/>
        <item x="73"/>
        <item x="3"/>
        <item x="97"/>
        <item x="195"/>
        <item x="150"/>
        <item x="19"/>
        <item x="15"/>
        <item x="128"/>
        <item x="18"/>
        <item x="112"/>
        <item x="34"/>
        <item x="176"/>
        <item x="151"/>
        <item x="66"/>
        <item x="33"/>
        <item x="175"/>
        <item x="131"/>
        <item x="25"/>
        <item x="90"/>
        <item x="148"/>
        <item x="89"/>
        <item x="9"/>
        <item x="189"/>
        <item x="124"/>
        <item x="106"/>
        <item x="74"/>
        <item x="23"/>
        <item x="136"/>
        <item x="1"/>
        <item x="58"/>
        <item x="165"/>
        <item x="164"/>
        <item x="115"/>
        <item x="179"/>
        <item x="49"/>
        <item x="193"/>
        <item x="8"/>
        <item x="82"/>
        <item x="126"/>
        <item x="84"/>
        <item x="153"/>
        <item x="83"/>
        <item x="93"/>
        <item x="37"/>
        <item x="144"/>
        <item x="184"/>
        <item x="28"/>
        <item x="48"/>
        <item x="110"/>
        <item x="10"/>
        <item x="104"/>
        <item x="56"/>
        <item x="167"/>
        <item x="116"/>
        <item x="70"/>
        <item x="156"/>
        <item x="171"/>
        <item x="86"/>
        <item x="79"/>
        <item x="145"/>
        <item x="75"/>
        <item x="134"/>
        <item x="158"/>
        <item x="98"/>
        <item x="63"/>
        <item x="137"/>
        <item x="133"/>
        <item x="163"/>
        <item x="14"/>
        <item x="147"/>
        <item x="132"/>
        <item x="26"/>
        <item x="41"/>
        <item x="172"/>
        <item x="169"/>
        <item x="29"/>
        <item x="102"/>
        <item x="141"/>
        <item x="17"/>
        <item x="61"/>
        <item x="40"/>
        <item x="183"/>
        <item x="77"/>
        <item x="129"/>
        <item x="107"/>
        <item x="51"/>
        <item x="157"/>
        <item x="199"/>
        <item x="45"/>
        <item x="42"/>
        <item x="196"/>
        <item x="161"/>
        <item x="190"/>
        <item x="95"/>
        <item x="109"/>
        <item x="44"/>
        <item x="30"/>
        <item x="143"/>
        <item x="54"/>
        <item x="53"/>
        <item x="187"/>
        <item x="177"/>
        <item x="72"/>
        <item x="43"/>
        <item x="146"/>
        <item x="99"/>
        <item x="92"/>
        <item x="88"/>
        <item x="139"/>
        <item x="64"/>
        <item x="31"/>
        <item x="182"/>
        <item x="197"/>
        <item x="173"/>
        <item x="69"/>
        <item x="50"/>
        <item x="168"/>
        <item x="119"/>
        <item x="32"/>
        <item x="127"/>
        <item x="52"/>
        <item x="135"/>
        <item x="6"/>
        <item x="118"/>
        <item x="65"/>
        <item x="130"/>
        <item x="111"/>
        <item x="160"/>
        <item x="21"/>
        <item x="24"/>
        <item x="123"/>
        <item x="71"/>
        <item x="152"/>
        <item x="117"/>
        <item x="2"/>
        <item x="36"/>
        <item x="125"/>
        <item x="162"/>
        <item x="191"/>
        <item x="140"/>
        <item x="185"/>
        <item x="20"/>
        <item x="186"/>
        <item x="7"/>
        <item x="103"/>
        <item x="192"/>
        <item x="194"/>
        <item x="166"/>
        <item x="39"/>
        <item x="68"/>
        <item x="22"/>
        <item x="178"/>
        <item x="155"/>
        <item x="5"/>
        <item x="55"/>
        <item x="138"/>
        <item x="13"/>
        <item x="62"/>
        <item x="96"/>
        <item x="121"/>
        <item x="94"/>
        <item x="81"/>
        <item x="108"/>
        <item x="11"/>
        <item x="46"/>
        <item x="76"/>
        <item x="85"/>
        <item x="4"/>
        <item x="101"/>
        <item x="12"/>
        <item x="154"/>
        <item x="113"/>
        <item t="default"/>
      </items>
      <autoSortScope>
        <pivotArea dataOnly="0" outline="0" fieldPosition="0">
          <references count="1">
            <reference field="4294967294" count="1" selected="0">
              <x v="2"/>
            </reference>
          </references>
        </pivotArea>
      </autoSortScope>
    </pivotField>
    <pivotField showAll="0"/>
    <pivotField dataField="1" showAll="0"/>
    <pivotField showAll="0"/>
    <pivotField showAll="0"/>
    <pivotField axis="axisPage" showAll="0">
      <items count="3">
        <item x="0"/>
        <item x="1"/>
        <item t="default"/>
      </items>
    </pivotField>
    <pivotField dataField="1" showAll="0"/>
    <pivotField dataField="1" showAll="0"/>
  </pivotFields>
  <rowFields count="1">
    <field x="1"/>
  </rowFields>
  <rowItems count="11">
    <i>
      <x v="14"/>
    </i>
    <i>
      <x v="98"/>
    </i>
    <i>
      <x v="19"/>
    </i>
    <i>
      <x v="87"/>
    </i>
    <i>
      <x v="33"/>
    </i>
    <i>
      <x v="101"/>
    </i>
    <i>
      <x v="52"/>
    </i>
    <i>
      <x v="1"/>
    </i>
    <i>
      <x v="128"/>
    </i>
    <i>
      <x v="104"/>
    </i>
    <i t="grand">
      <x/>
    </i>
  </rowItems>
  <colFields count="1">
    <field x="-2"/>
  </colFields>
  <colItems count="3">
    <i>
      <x/>
    </i>
    <i i="1">
      <x v="1"/>
    </i>
    <i i="2">
      <x v="2"/>
    </i>
  </colItems>
  <pageFields count="1">
    <pageField fld="6" item="1" hier="-1"/>
  </pageFields>
  <dataFields count="3">
    <dataField name="Sum of Price_7D" fld="7" baseField="0" baseItem="0"/>
    <dataField name="Sum of Price_24H" fld="8" baseField="0" baseItem="0"/>
    <dataField name="Sum of Change_1h" fld="3" baseField="0" baseItem="0"/>
  </dataFields>
  <chartFormats count="3">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1" type="count" evalOrder="-1" id="1"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7EC9DF-4D93-41C2-8CBC-0D6CF58A3A4D}"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04" firstHeaderRow="1" firstDataRow="1" firstDataCol="1" rowPageCount="1" colPageCount="1"/>
  <pivotFields count="8">
    <pivotField showAll="0"/>
    <pivotField axis="axisRow" showAll="0" sortType="ascending">
      <items count="201">
        <item x="78"/>
        <item x="100"/>
        <item x="59"/>
        <item x="120"/>
        <item x="122"/>
        <item x="159"/>
        <item x="174"/>
        <item x="67"/>
        <item x="170"/>
        <item x="80"/>
        <item x="105"/>
        <item x="198"/>
        <item x="87"/>
        <item x="114"/>
        <item x="47"/>
        <item x="27"/>
        <item x="180"/>
        <item x="91"/>
        <item x="60"/>
        <item x="188"/>
        <item x="0"/>
        <item x="16"/>
        <item x="149"/>
        <item x="57"/>
        <item x="35"/>
        <item x="142"/>
        <item x="38"/>
        <item x="181"/>
        <item x="73"/>
        <item x="3"/>
        <item x="97"/>
        <item x="195"/>
        <item x="150"/>
        <item x="19"/>
        <item x="15"/>
        <item x="128"/>
        <item x="18"/>
        <item x="112"/>
        <item x="34"/>
        <item x="176"/>
        <item x="151"/>
        <item x="66"/>
        <item x="33"/>
        <item x="175"/>
        <item x="131"/>
        <item x="25"/>
        <item x="90"/>
        <item x="148"/>
        <item x="89"/>
        <item x="9"/>
        <item x="189"/>
        <item x="124"/>
        <item x="106"/>
        <item x="74"/>
        <item x="23"/>
        <item x="136"/>
        <item x="1"/>
        <item x="58"/>
        <item x="165"/>
        <item x="164"/>
        <item x="115"/>
        <item x="179"/>
        <item x="49"/>
        <item x="193"/>
        <item x="8"/>
        <item x="82"/>
        <item x="126"/>
        <item x="84"/>
        <item x="153"/>
        <item x="83"/>
        <item x="93"/>
        <item x="37"/>
        <item x="144"/>
        <item x="184"/>
        <item x="28"/>
        <item x="48"/>
        <item x="110"/>
        <item x="10"/>
        <item x="104"/>
        <item x="56"/>
        <item x="167"/>
        <item x="116"/>
        <item x="70"/>
        <item x="156"/>
        <item x="171"/>
        <item x="86"/>
        <item x="79"/>
        <item x="145"/>
        <item x="75"/>
        <item x="134"/>
        <item x="158"/>
        <item x="98"/>
        <item x="63"/>
        <item x="137"/>
        <item x="133"/>
        <item x="163"/>
        <item x="14"/>
        <item x="147"/>
        <item x="132"/>
        <item x="26"/>
        <item x="41"/>
        <item x="172"/>
        <item x="169"/>
        <item x="29"/>
        <item x="102"/>
        <item x="141"/>
        <item x="17"/>
        <item x="61"/>
        <item x="40"/>
        <item x="183"/>
        <item x="77"/>
        <item x="129"/>
        <item x="107"/>
        <item x="51"/>
        <item x="157"/>
        <item x="199"/>
        <item x="45"/>
        <item x="42"/>
        <item x="196"/>
        <item x="161"/>
        <item x="190"/>
        <item x="95"/>
        <item x="109"/>
        <item x="44"/>
        <item x="30"/>
        <item x="143"/>
        <item x="54"/>
        <item x="53"/>
        <item x="187"/>
        <item x="177"/>
        <item x="72"/>
        <item x="43"/>
        <item x="146"/>
        <item x="99"/>
        <item x="92"/>
        <item x="88"/>
        <item x="139"/>
        <item x="64"/>
        <item x="31"/>
        <item x="182"/>
        <item x="197"/>
        <item x="173"/>
        <item x="69"/>
        <item x="50"/>
        <item x="168"/>
        <item x="119"/>
        <item x="32"/>
        <item x="127"/>
        <item x="52"/>
        <item x="135"/>
        <item x="6"/>
        <item x="118"/>
        <item x="65"/>
        <item x="130"/>
        <item x="111"/>
        <item x="160"/>
        <item x="21"/>
        <item x="24"/>
        <item x="123"/>
        <item x="71"/>
        <item x="152"/>
        <item x="117"/>
        <item x="2"/>
        <item x="36"/>
        <item x="125"/>
        <item x="162"/>
        <item x="191"/>
        <item x="140"/>
        <item x="185"/>
        <item x="20"/>
        <item x="186"/>
        <item x="7"/>
        <item x="103"/>
        <item x="192"/>
        <item x="194"/>
        <item x="166"/>
        <item x="39"/>
        <item x="68"/>
        <item x="22"/>
        <item x="178"/>
        <item x="155"/>
        <item x="5"/>
        <item x="55"/>
        <item x="138"/>
        <item x="13"/>
        <item x="62"/>
        <item x="96"/>
        <item x="121"/>
        <item x="94"/>
        <item x="81"/>
        <item x="108"/>
        <item x="11"/>
        <item x="46"/>
        <item x="76"/>
        <item x="85"/>
        <item x="4"/>
        <item x="101"/>
        <item x="12"/>
        <item x="154"/>
        <item x="11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Page" showAll="0">
      <items count="6">
        <item x="0"/>
        <item x="2"/>
        <item x="1"/>
        <item x="4"/>
        <item x="3"/>
        <item t="default"/>
      </items>
    </pivotField>
    <pivotField dataField="1" showAll="0"/>
  </pivotFields>
  <rowFields count="1">
    <field x="1"/>
  </rowFields>
  <rowItems count="201">
    <i>
      <x v="26"/>
    </i>
    <i>
      <x v="170"/>
    </i>
    <i>
      <x v="181"/>
    </i>
    <i>
      <x v="143"/>
    </i>
    <i>
      <x v="185"/>
    </i>
    <i>
      <x v="71"/>
    </i>
    <i>
      <x v="10"/>
    </i>
    <i>
      <x v="124"/>
    </i>
    <i>
      <x v="184"/>
    </i>
    <i>
      <x v="196"/>
    </i>
    <i>
      <x v="183"/>
    </i>
    <i>
      <x v="70"/>
    </i>
    <i>
      <x v="179"/>
    </i>
    <i>
      <x v="144"/>
    </i>
    <i>
      <x v="45"/>
    </i>
    <i>
      <x v="162"/>
    </i>
    <i>
      <x v="187"/>
    </i>
    <i>
      <x v="177"/>
    </i>
    <i>
      <x v="178"/>
    </i>
    <i>
      <x v="182"/>
    </i>
    <i>
      <x v="81"/>
    </i>
    <i>
      <x v="121"/>
    </i>
    <i>
      <x v="159"/>
    </i>
    <i>
      <x v="43"/>
    </i>
    <i>
      <x v="82"/>
    </i>
    <i>
      <x v="62"/>
    </i>
    <i>
      <x v="186"/>
    </i>
    <i>
      <x v="18"/>
    </i>
    <i>
      <x v="54"/>
    </i>
    <i>
      <x v="28"/>
    </i>
    <i>
      <x v="38"/>
    </i>
    <i>
      <x v="66"/>
    </i>
    <i>
      <x v="95"/>
    </i>
    <i>
      <x v="115"/>
    </i>
    <i>
      <x v="140"/>
    </i>
    <i>
      <x v="172"/>
    </i>
    <i>
      <x v="132"/>
    </i>
    <i>
      <x v="180"/>
    </i>
    <i>
      <x v="17"/>
    </i>
    <i>
      <x v="102"/>
    </i>
    <i>
      <x v="11"/>
    </i>
    <i>
      <x v="64"/>
    </i>
    <i>
      <x v="138"/>
    </i>
    <i>
      <x v="117"/>
    </i>
    <i>
      <x v="60"/>
    </i>
    <i>
      <x v="152"/>
    </i>
    <i>
      <x v="151"/>
    </i>
    <i>
      <x v="96"/>
    </i>
    <i>
      <x v="39"/>
    </i>
    <i>
      <x v="25"/>
    </i>
    <i>
      <x v="176"/>
    </i>
    <i>
      <x v="7"/>
    </i>
    <i>
      <x v="158"/>
    </i>
    <i>
      <x v="52"/>
    </i>
    <i>
      <x v="174"/>
    </i>
    <i>
      <x v="191"/>
    </i>
    <i>
      <x v="78"/>
    </i>
    <i>
      <x v="20"/>
    </i>
    <i>
      <x v="106"/>
    </i>
    <i>
      <x v="114"/>
    </i>
    <i>
      <x v="3"/>
    </i>
    <i>
      <x v="57"/>
    </i>
    <i>
      <x v="171"/>
    </i>
    <i>
      <x v="23"/>
    </i>
    <i>
      <x v="110"/>
    </i>
    <i>
      <x v="163"/>
    </i>
    <i>
      <x v="123"/>
    </i>
    <i>
      <x v="67"/>
    </i>
    <i>
      <x v="130"/>
    </i>
    <i>
      <x v="29"/>
    </i>
    <i>
      <x v="94"/>
    </i>
    <i>
      <x v="69"/>
    </i>
    <i>
      <x v="195"/>
    </i>
    <i>
      <x v="118"/>
    </i>
    <i>
      <x v="92"/>
    </i>
    <i>
      <x v="75"/>
    </i>
    <i>
      <x v="113"/>
    </i>
    <i>
      <x v="74"/>
    </i>
    <i>
      <x v="16"/>
    </i>
    <i>
      <x v="148"/>
    </i>
    <i>
      <x v="86"/>
    </i>
    <i>
      <x v="139"/>
    </i>
    <i>
      <x v="15"/>
    </i>
    <i>
      <x v="89"/>
    </i>
    <i>
      <x v="6"/>
    </i>
    <i>
      <x v="41"/>
    </i>
    <i>
      <x v="99"/>
    </i>
    <i>
      <x v="137"/>
    </i>
    <i>
      <x v="1"/>
    </i>
    <i>
      <x v="33"/>
    </i>
    <i>
      <x v="56"/>
    </i>
    <i>
      <x v="34"/>
    </i>
    <i>
      <x v="141"/>
    </i>
    <i>
      <x v="80"/>
    </i>
    <i>
      <x v="72"/>
    </i>
    <i>
      <x v="150"/>
    </i>
    <i>
      <x v="76"/>
    </i>
    <i>
      <x v="161"/>
    </i>
    <i>
      <x v="190"/>
    </i>
    <i>
      <x v="122"/>
    </i>
    <i>
      <x v="131"/>
    </i>
    <i>
      <x v="36"/>
    </i>
    <i>
      <x v="97"/>
    </i>
    <i>
      <x v="5"/>
    </i>
    <i>
      <x v="42"/>
    </i>
    <i>
      <x v="88"/>
    </i>
    <i>
      <x v="8"/>
    </i>
    <i>
      <x v="166"/>
    </i>
    <i>
      <x v="142"/>
    </i>
    <i>
      <x v="155"/>
    </i>
    <i>
      <x v="59"/>
    </i>
    <i>
      <x v="194"/>
    </i>
    <i>
      <x v="31"/>
    </i>
    <i>
      <x v="109"/>
    </i>
    <i>
      <x v="135"/>
    </i>
    <i>
      <x v="104"/>
    </i>
    <i>
      <x v="91"/>
    </i>
    <i>
      <x v="85"/>
    </i>
    <i>
      <x v="145"/>
    </i>
    <i>
      <x v="146"/>
    </i>
    <i>
      <x v="169"/>
    </i>
    <i>
      <x v="65"/>
    </i>
    <i>
      <x v="107"/>
    </i>
    <i>
      <x v="134"/>
    </i>
    <i>
      <x v="9"/>
    </i>
    <i>
      <x v="188"/>
    </i>
    <i>
      <x v="173"/>
    </i>
    <i>
      <x v="192"/>
    </i>
    <i>
      <x v="160"/>
    </i>
    <i>
      <x v="126"/>
    </i>
    <i>
      <x v="49"/>
    </i>
    <i>
      <x v="58"/>
    </i>
    <i>
      <x v="2"/>
    </i>
    <i>
      <x v="47"/>
    </i>
    <i>
      <x v="37"/>
    </i>
    <i>
      <x v="22"/>
    </i>
    <i>
      <x v="53"/>
    </i>
    <i>
      <x v="100"/>
    </i>
    <i>
      <x v="168"/>
    </i>
    <i>
      <x v="164"/>
    </i>
    <i>
      <x v="193"/>
    </i>
    <i>
      <x v="13"/>
    </i>
    <i>
      <x v="156"/>
    </i>
    <i>
      <x v="50"/>
    </i>
    <i>
      <x v="165"/>
    </i>
    <i>
      <x v="4"/>
    </i>
    <i>
      <x v="154"/>
    </i>
    <i>
      <x v="127"/>
    </i>
    <i>
      <x v="129"/>
    </i>
    <i>
      <x v="35"/>
    </i>
    <i>
      <x v="30"/>
    </i>
    <i>
      <x v="68"/>
    </i>
    <i>
      <x v="83"/>
    </i>
    <i>
      <x v="153"/>
    </i>
    <i>
      <x/>
    </i>
    <i>
      <x v="125"/>
    </i>
    <i>
      <x v="46"/>
    </i>
    <i>
      <x v="157"/>
    </i>
    <i>
      <x v="119"/>
    </i>
    <i>
      <x v="105"/>
    </i>
    <i>
      <x v="44"/>
    </i>
    <i>
      <x v="116"/>
    </i>
    <i>
      <x v="87"/>
    </i>
    <i>
      <x v="24"/>
    </i>
    <i>
      <x v="199"/>
    </i>
    <i>
      <x v="147"/>
    </i>
    <i>
      <x v="90"/>
    </i>
    <i>
      <x v="112"/>
    </i>
    <i>
      <x v="133"/>
    </i>
    <i>
      <x v="63"/>
    </i>
    <i>
      <x v="48"/>
    </i>
    <i>
      <x v="21"/>
    </i>
    <i>
      <x v="149"/>
    </i>
    <i>
      <x v="61"/>
    </i>
    <i>
      <x v="55"/>
    </i>
    <i>
      <x v="79"/>
    </i>
    <i>
      <x v="108"/>
    </i>
    <i>
      <x v="198"/>
    </i>
    <i>
      <x v="101"/>
    </i>
    <i>
      <x v="12"/>
    </i>
    <i>
      <x v="14"/>
    </i>
    <i>
      <x v="84"/>
    </i>
    <i>
      <x v="40"/>
    </i>
    <i>
      <x v="136"/>
    </i>
    <i>
      <x v="73"/>
    </i>
    <i>
      <x v="189"/>
    </i>
    <i>
      <x v="51"/>
    </i>
    <i>
      <x v="93"/>
    </i>
    <i>
      <x v="103"/>
    </i>
    <i>
      <x v="128"/>
    </i>
    <i>
      <x v="120"/>
    </i>
    <i>
      <x v="197"/>
    </i>
    <i>
      <x v="111"/>
    </i>
    <i>
      <x v="167"/>
    </i>
    <i>
      <x v="32"/>
    </i>
    <i>
      <x v="77"/>
    </i>
    <i>
      <x v="175"/>
    </i>
    <i>
      <x v="98"/>
    </i>
    <i>
      <x v="19"/>
    </i>
    <i>
      <x v="27"/>
    </i>
    <i t="grand">
      <x/>
    </i>
  </rowItems>
  <colItems count="1">
    <i/>
  </colItems>
  <pageFields count="1">
    <pageField fld="6" hier="-1"/>
  </pageFields>
  <dataFields count="1">
    <dataField name="Sum of Avg_Downfall"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2A22945-DB6A-4D9D-A569-E236E541CEBA}" autoFormatId="16" applyNumberFormats="0" applyBorderFormats="0" applyFontFormats="0" applyPatternFormats="0" applyAlignmentFormats="0" applyWidthHeightFormats="0">
  <queryTableRefresh nextId="10">
    <queryTableFields count="9">
      <queryTableField id="1" name="symbol" tableColumnId="1"/>
      <queryTableField id="2" name="name" tableColumnId="2"/>
      <queryTableField id="3" name="current_price" tableColumnId="3"/>
      <queryTableField id="4" name="market_cap" tableColumnId="4"/>
      <queryTableField id="5" name="total_volume" tableColumnId="5"/>
      <queryTableField id="6" name="price_change_percentage_24h" tableColumnId="6"/>
      <queryTableField id="7" name="circulating_supply" tableColumnId="7"/>
      <queryTableField id="8" name="price_change_percentage_1h_in_currency" tableColumnId="8"/>
      <queryTableField id="9" name="price_change_percentage_7d_in_currency"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463D2253-0BEC-4BE0-B156-3AB0FAA671D6}" autoFormatId="16" applyNumberFormats="0" applyBorderFormats="0" applyFontFormats="0" applyPatternFormats="0" applyAlignmentFormats="0" applyWidthHeightFormats="0">
  <queryTableRefresh nextId="19" unboundColumnsRight="8">
    <queryTableFields count="17">
      <queryTableField id="1" name="symbol" tableColumnId="1"/>
      <queryTableField id="2" name="name" tableColumnId="2"/>
      <queryTableField id="3" name="current_price" tableColumnId="3"/>
      <queryTableField id="4" name="market_cap" tableColumnId="4"/>
      <queryTableField id="5" name="total_volume" tableColumnId="5"/>
      <queryTableField id="6" name="price_change_percentage_24h" tableColumnId="6"/>
      <queryTableField id="7" name="circulating_supply" tableColumnId="7"/>
      <queryTableField id="8" name="price_change_percentage_1h_in_currency" tableColumnId="8"/>
      <queryTableField id="9" name="price_change_percentage_7d_in_currency"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8" dataBound="0"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Group" xr10:uid="{16BDD7CC-CC59-4580-AE85-2F3FE71D591D}" sourceName="Price_Group">
  <pivotTables>
    <pivotTable tabId="11" name="PivotTable1"/>
  </pivotTables>
  <data>
    <tabular pivotCacheId="1086206239">
      <items count="5">
        <i x="0" s="1"/>
        <i x="2" s="1"/>
        <i x="1" s="1"/>
        <i x="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Filter" xr10:uid="{1E461BF9-C049-4C79-911D-0E9F7200A35D}" sourceName="Price_Filter">
  <pivotTables>
    <pivotTable tabId="19" name="PivotTable1"/>
    <pivotTable tabId="19" name="PivotTable3"/>
  </pivotTables>
  <data>
    <tabular pivotCacheId="999007711">
      <items count="2">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1F6246DE-6038-4A21-83AC-0983DB025505}" sourceName="Price_Range">
  <pivotTables>
    <pivotTable tabId="22" name="PivotTable5"/>
  </pivotTables>
  <data>
    <tabular pivotCacheId="1180388654">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5BCB9C4C-E7BF-482A-9A27-4C52DD44BC3C}" sourceName="Price_Range">
  <pivotTables>
    <pivotTable tabId="25" name="PivotTable6"/>
  </pivotTables>
  <data>
    <tabular pivotCacheId="409751590">
      <items count="5">
        <i x="0" s="1"/>
        <i x="2" s="1"/>
        <i x="1"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Group" xr10:uid="{B1B734E1-7B68-4078-8B9B-97A360189C48}" cache="Slicer_Price_Group" caption="Price_Group" style="SlicerStyleLigh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Filter" xr10:uid="{81101B6B-1005-40FB-B8A4-28A29FF3F594}" cache="Slicer_Price_Filter" caption="Price_Filte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Range" xr10:uid="{DA694B72-E9DE-4B3F-8B63-4E8145F1A772}" cache="Slicer_Price_Range" caption="Price_Rang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_Range 1" xr10:uid="{400F492C-39CE-488B-945E-8565DD133823}" cache="Slicer_Price_Range1" caption="Price_Rang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32249-1106-4AF2-BF42-FE1004AE5DAE}" name="markets?vs_currency_usd_order_market_cap_desc_per_page_200_page_1_sparkline_fals" displayName="markets?vs_currency_usd_order_market_cap_desc_per_page_200_page_1_sparkline_fals" ref="A1:I201" tableType="queryTable" totalsRowShown="0">
  <autoFilter ref="A1:I201" xr:uid="{63832249-1106-4AF2-BF42-FE1004AE5DAE}"/>
  <tableColumns count="9">
    <tableColumn id="1" xr3:uid="{CC00225B-4615-4E00-BFB8-989C244621AA}" uniqueName="1" name="Symbol" queryTableFieldId="1"/>
    <tableColumn id="2" xr3:uid="{74D6FD48-16B3-4E73-B1B0-211475B951AC}" uniqueName="2" name="Name" queryTableFieldId="2"/>
    <tableColumn id="3" xr3:uid="{B8BFC638-C111-4EE9-BD27-3C92AF83FE98}" uniqueName="3" name="Current_price" queryTableFieldId="3"/>
    <tableColumn id="4" xr3:uid="{D28FD810-7381-4674-9441-DF2FB7AE209A}" uniqueName="4" name="Market_cap" queryTableFieldId="4"/>
    <tableColumn id="5" xr3:uid="{51F14C1D-EFB3-401D-A39D-61C93497B6EF}" uniqueName="5" name="Volume_24h" queryTableFieldId="5"/>
    <tableColumn id="6" xr3:uid="{4CF3C709-7C0C-45BD-958C-29F1975A4D48}" uniqueName="6" name="Change_24h" queryTableFieldId="6"/>
    <tableColumn id="7" xr3:uid="{D724AEF2-41CF-428A-BEF4-6A3578B2D771}" uniqueName="7" name="Circulating_supply" queryTableFieldId="7"/>
    <tableColumn id="8" xr3:uid="{CD6F058D-4654-4FB6-8939-B3B4848F5EFC}" uniqueName="8" name="Change_1h" queryTableFieldId="8"/>
    <tableColumn id="9" xr3:uid="{3EE4FF49-B56D-49C5-ACD8-7625E2E7381E}" uniqueName="9" name="Change_7d"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8A0EAE-FDE3-4532-9065-E12CCD45DD48}" name="markets?vs_currency_usd_order_market_cap_desc_per_page_200_page_1_sparkline_fals3" displayName="markets?vs_currency_usd_order_market_cap_desc_per_page_200_page_1_sparkline_fals3" ref="A1:Q201" tableType="queryTable" totalsRowShown="0">
  <autoFilter ref="A1:Q201" xr:uid="{538A0EAE-FDE3-4532-9065-E12CCD45DD48}"/>
  <tableColumns count="17">
    <tableColumn id="1" xr3:uid="{97336CDB-15B8-42B0-96B6-0D852FDF198D}" uniqueName="1" name="Symbol" queryTableFieldId="1" dataDxfId="34"/>
    <tableColumn id="2" xr3:uid="{860BA889-5016-4A12-8C27-B26D305529D5}" uniqueName="2" name="Name" queryTableFieldId="2"/>
    <tableColumn id="3" xr3:uid="{2DE9F65E-1094-4BB6-B462-4464561D80CF}" uniqueName="3" name="Current_price" queryTableFieldId="3"/>
    <tableColumn id="4" xr3:uid="{47E9FFED-9341-4B56-BE4A-8ECB14A775FA}" uniqueName="4" name="Market_cap" queryTableFieldId="4"/>
    <tableColumn id="5" xr3:uid="{F34CF492-9980-4A16-A0C6-09E069A2689F}" uniqueName="5" name="Volume_24h" queryTableFieldId="5"/>
    <tableColumn id="6" xr3:uid="{B72E02DF-0D01-4898-8422-654C723B5B06}" uniqueName="6" name="Change_24h" queryTableFieldId="6"/>
    <tableColumn id="7" xr3:uid="{8BAAC36E-EE6E-46A8-B914-23377219914B}" uniqueName="7" name="Circulating_supply" queryTableFieldId="7"/>
    <tableColumn id="8" xr3:uid="{CA52456A-DF96-4082-AF30-6B277D37612B}" uniqueName="8" name="Change_1h" queryTableFieldId="8"/>
    <tableColumn id="9" xr3:uid="{CF6E72E7-82C9-4E10-BA70-5632D5D0FB55}" uniqueName="9" name="Change_7d" queryTableFieldId="9"/>
    <tableColumn id="10" xr3:uid="{AA142EB2-34D7-453B-A2C3-F876047DDACA}" uniqueName="10" name="First_Letter" queryTableFieldId="10" dataDxfId="33">
      <calculatedColumnFormula>LEFT(B2,1)</calculatedColumnFormula>
    </tableColumn>
    <tableColumn id="11" xr3:uid="{5DF6D518-2CB4-43D2-9C56-E3037CC42E5A}" uniqueName="11" name="Valid_Start" queryTableFieldId="11" dataDxfId="32">
      <calculatedColumnFormula>OR(J2="A",J2="E",J2="I",J2="O",J2="U",J2="B",J2="C",J2="D")</calculatedColumnFormula>
    </tableColumn>
    <tableColumn id="12" xr3:uid="{63AD5510-2CF7-438A-B4E6-0ABB098A2D0F}" uniqueName="12" name="Price_Group" queryTableFieldId="12" dataDxfId="31">
      <calculatedColumnFormula>IF(C2&lt;=0.05,"0-0.05",IF(C2&lt;=0.5,"0.05-0.5",IF(C2&lt;=5,"0.5-5",IF(C2&lt;=50,"5-50","&gt;50"))))</calculatedColumnFormula>
    </tableColumn>
    <tableColumn id="13" xr3:uid="{86C587B7-3FAB-4744-942F-3D8F4CD978F9}" uniqueName="13" name="Avg_Downfall" queryTableFieldId="13" dataDxfId="30">
      <calculatedColumnFormula>ABS(AVERAGE(G2,H2,I2))</calculatedColumnFormula>
    </tableColumn>
    <tableColumn id="14" xr3:uid="{035C8A96-BE8B-4800-A98B-96FDDA0AD38D}" uniqueName="14" name="Price_Group_Task3" queryTableFieldId="14" dataDxfId="29">
      <calculatedColumnFormula>IF(C2&lt;=50,"0-50","&gt;50")</calculatedColumnFormula>
    </tableColumn>
    <tableColumn id="15" xr3:uid="{0551D1A1-F115-420C-B69E-9F3A11CDB5BD}" uniqueName="15" name="Price_Filter_Task4" queryTableFieldId="15" dataDxfId="28"/>
    <tableColumn id="16" xr3:uid="{183F480F-3AD9-474C-9EF0-58267B7FD329}" uniqueName="16" name="Previous_1h_Price" queryTableFieldId="16" dataDxfId="27">
      <calculatedColumnFormula>C2/(1+(H2/100))</calculatedColumnFormula>
    </tableColumn>
    <tableColumn id="17" xr3:uid="{FDCD20C1-5E40-4555-9F6E-F4D4B80F5968}" uniqueName="17" name="Price_Change" queryTableFieldId="18" dataDxfId="26">
      <calculatedColumnFormula>C2-P2</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C2B03E-80A9-467A-9B56-150C1805B227}" name="Table3" displayName="Table3" ref="A1:G201" totalsRowShown="0" headerRowDxfId="22" tableBorderDxfId="21">
  <autoFilter ref="A1:G201" xr:uid="{57C2B03E-80A9-467A-9B56-150C1805B227}"/>
  <tableColumns count="7">
    <tableColumn id="1" xr3:uid="{0661F9D1-889B-4D9F-A856-89191BEFA041}" name="Symbol" dataDxfId="20"/>
    <tableColumn id="2" xr3:uid="{FCA09028-6DED-494B-BFD4-D3240FE2B189}" name="Name" dataDxfId="19"/>
    <tableColumn id="3" xr3:uid="{FFAC4509-CBC6-4F8E-9555-935F094D8411}" name="Current_price" dataDxfId="18"/>
    <tableColumn id="4" xr3:uid="{94693025-15F7-4F65-8D66-FB77D2DA5EFE}" name="Change_1h" dataDxfId="17"/>
    <tableColumn id="5" xr3:uid="{0A53382B-CFDB-4360-9775-259D684A5AD4}" name="Price_Filter">
      <calculatedColumnFormula>IF(C2&lt;10,"Up to $10","&gt;= $10")</calculatedColumnFormula>
    </tableColumn>
    <tableColumn id="6" xr3:uid="{41739653-3A31-4322-B5F6-C419491DA758}" name="Previous_1h_Price">
      <calculatedColumnFormula>C2/(1+(D2/100))</calculatedColumnFormula>
    </tableColumn>
    <tableColumn id="7" xr3:uid="{B0280BEF-CC8F-4B2F-A592-343242B1435A}" name="Price_Change">
      <calculatedColumnFormula>C2-F2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F81ADD8-C96A-4F04-8270-E1ACCFB03BE7}" name="Table4" displayName="Table4" ref="A1:I201" totalsRowShown="0" headerRowDxfId="16" tableBorderDxfId="15">
  <autoFilter ref="A1:I201" xr:uid="{1F81ADD8-C96A-4F04-8270-E1ACCFB03BE7}"/>
  <tableColumns count="9">
    <tableColumn id="1" xr3:uid="{A1935BF9-EA90-4ED8-8390-9D44FD69C751}" name="Symbol" dataDxfId="14"/>
    <tableColumn id="2" xr3:uid="{2670756F-348E-44F2-815A-3A4AFCEC7036}" name="Name" dataDxfId="13"/>
    <tableColumn id="3" xr3:uid="{703C9A97-A147-4B04-AB21-AD5E11807B27}" name="Current_price" dataDxfId="12"/>
    <tableColumn id="4" xr3:uid="{F96E3C7A-9AF2-482D-B07F-59073CFD2CEC}" name="Change_1h" dataDxfId="11"/>
    <tableColumn id="5" xr3:uid="{DDEDDACE-4C71-4A55-A5CC-E4F10B0E4E5A}" name="Change_24h" dataDxfId="10"/>
    <tableColumn id="6" xr3:uid="{E8D4BF0B-50B3-4C81-8254-A05979500208}" name="Change_7d" dataDxfId="9"/>
    <tableColumn id="7" xr3:uid="{474BC0C6-3EC4-422D-9B83-4C2BFB2C34ED}" name="Price_Range">
      <calculatedColumnFormula>IF(C2&lt;=5,"0-5","&gt;5")</calculatedColumnFormula>
    </tableColumn>
    <tableColumn id="8" xr3:uid="{2650335B-136A-4722-A4F5-9682E8B1169C}" name="Price_7D">
      <calculatedColumnFormula>C2/(1+(F2/100))</calculatedColumnFormula>
    </tableColumn>
    <tableColumn id="9" xr3:uid="{5FAC90D4-77B8-4D9F-A740-FD6C6335F0BC}" name="Price_24H">
      <calculatedColumnFormula>C2/(1-(E2/100))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59FF0E6-A8BC-4DD1-997B-FD8867B9C1CC}" name="Table5" displayName="Table5" ref="A1:H201" totalsRowShown="0" headerRowDxfId="8" dataDxfId="7" tableBorderDxfId="6">
  <autoFilter ref="A1:H201" xr:uid="{E59FF0E6-A8BC-4DD1-997B-FD8867B9C1CC}"/>
  <tableColumns count="8">
    <tableColumn id="1" xr3:uid="{F7F62358-D2AA-4129-BEB6-32262A52F2C8}" name="Symbol" dataDxfId="5"/>
    <tableColumn id="2" xr3:uid="{BF0F1E0B-1A1C-481F-85D7-DF6AAA70083B}" name="Name" dataDxfId="4"/>
    <tableColumn id="3" xr3:uid="{A3F6BFD2-0ABC-4D7D-9E30-B0716DC1E5B7}" name="Current_price" dataDxfId="3"/>
    <tableColumn id="4" xr3:uid="{C5A5F458-D8CB-4EDD-9B99-DF28CB223A10}" name="Change_1h" dataDxfId="2"/>
    <tableColumn id="5" xr3:uid="{31DAF0D9-9EE6-43AB-9484-B2B26CA81062}" name="Change_24h" dataDxfId="1"/>
    <tableColumn id="6" xr3:uid="{153D6D3B-9C5B-49B5-A4CB-FFF36AE0EBF5}" name="Change_7d" dataDxfId="0"/>
    <tableColumn id="7" xr3:uid="{F6127458-8795-478D-89C9-6E37E66AD054}" name="Price_Range">
      <calculatedColumnFormula>IF(C2&lt;=0.05,"0-0.05",
IF(C2&lt;=0.5,"0.05-0.5",
IF(C2&lt;=5,"0.5-5",
IF(C2&lt;=50,"5-50","&gt;50"))))</calculatedColumnFormula>
    </tableColumn>
    <tableColumn id="8" xr3:uid="{71D46F69-5BCD-4C9B-AF9F-2EF0D647B8DF}" name="Avg_Downfall">
      <calculatedColumnFormula>AVERAGE(ABS(D2),ABS(E2),ABS(F2))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AD0AB-FF38-4028-830E-65EAE5F6D8E0}">
  <sheetPr codeName="Sheet1"/>
  <dimension ref="A1:B10"/>
  <sheetViews>
    <sheetView workbookViewId="0">
      <selection activeCell="D10" sqref="D10"/>
    </sheetView>
  </sheetViews>
  <sheetFormatPr defaultRowHeight="14.4" x14ac:dyDescent="0.3"/>
  <sheetData>
    <row r="1" spans="1:2" ht="28.8" x14ac:dyDescent="0.3">
      <c r="A1" s="1" t="s">
        <v>0</v>
      </c>
      <c r="B1" s="1" t="s">
        <v>1</v>
      </c>
    </row>
    <row r="2" spans="1:2" ht="43.2" x14ac:dyDescent="0.3">
      <c r="A2" s="2" t="s">
        <v>2</v>
      </c>
      <c r="B2" s="2" t="s">
        <v>3</v>
      </c>
    </row>
    <row r="3" spans="1:2" ht="43.2" x14ac:dyDescent="0.3">
      <c r="A3" s="2" t="s">
        <v>4</v>
      </c>
      <c r="B3" s="2" t="s">
        <v>5</v>
      </c>
    </row>
    <row r="4" spans="1:2" ht="28.8" x14ac:dyDescent="0.3">
      <c r="A4" s="2" t="s">
        <v>6</v>
      </c>
      <c r="B4" s="2" t="s">
        <v>7</v>
      </c>
    </row>
    <row r="5" spans="1:2" ht="28.8" x14ac:dyDescent="0.3">
      <c r="A5" s="2" t="s">
        <v>8</v>
      </c>
      <c r="B5" s="2" t="s">
        <v>9</v>
      </c>
    </row>
    <row r="6" spans="1:2" ht="28.8" x14ac:dyDescent="0.3">
      <c r="A6" s="2" t="s">
        <v>10</v>
      </c>
      <c r="B6" s="2" t="s">
        <v>11</v>
      </c>
    </row>
    <row r="7" spans="1:2" ht="28.8" x14ac:dyDescent="0.3">
      <c r="A7" s="2" t="s">
        <v>12</v>
      </c>
      <c r="B7" s="2" t="s">
        <v>13</v>
      </c>
    </row>
    <row r="8" spans="1:2" ht="28.8" x14ac:dyDescent="0.3">
      <c r="A8" s="2" t="s">
        <v>14</v>
      </c>
      <c r="B8" s="2" t="s">
        <v>15</v>
      </c>
    </row>
    <row r="9" spans="1:2" ht="28.8" x14ac:dyDescent="0.3">
      <c r="A9" s="2" t="s">
        <v>16</v>
      </c>
      <c r="B9" s="2" t="s">
        <v>17</v>
      </c>
    </row>
    <row r="10" spans="1:2" ht="43.2" x14ac:dyDescent="0.3">
      <c r="A10" s="2" t="s">
        <v>18</v>
      </c>
      <c r="B10" s="2" t="s">
        <v>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74AA4-9F19-4EEC-A11E-5E617DAB063C}">
  <sheetPr codeName="Sheet2"/>
  <dimension ref="A1:I201"/>
  <sheetViews>
    <sheetView tabSelected="1" topLeftCell="C1" workbookViewId="0">
      <selection activeCell="K185" sqref="K185"/>
    </sheetView>
  </sheetViews>
  <sheetFormatPr defaultRowHeight="14.4" x14ac:dyDescent="0.3"/>
  <cols>
    <col min="1" max="1" width="9.88671875" bestFit="1" customWidth="1"/>
    <col min="2" max="2" width="56" bestFit="1" customWidth="1"/>
    <col min="3" max="3" width="14.44140625" bestFit="1" customWidth="1"/>
    <col min="4" max="4" width="13.21875" bestFit="1" customWidth="1"/>
    <col min="5" max="5" width="14.44140625" bestFit="1" customWidth="1"/>
    <col min="6" max="6" width="29.44140625" bestFit="1" customWidth="1"/>
    <col min="7" max="7" width="18.5546875" bestFit="1" customWidth="1"/>
    <col min="8" max="9" width="39.5546875" bestFit="1" customWidth="1"/>
  </cols>
  <sheetData>
    <row r="1" spans="1:9" x14ac:dyDescent="0.3">
      <c r="A1" t="s">
        <v>420</v>
      </c>
      <c r="B1" t="s">
        <v>427</v>
      </c>
      <c r="C1" t="s">
        <v>428</v>
      </c>
      <c r="D1" t="s">
        <v>422</v>
      </c>
      <c r="E1" t="s">
        <v>421</v>
      </c>
      <c r="F1" t="s">
        <v>424</v>
      </c>
      <c r="G1" t="s">
        <v>423</v>
      </c>
      <c r="H1" t="s">
        <v>425</v>
      </c>
      <c r="I1" t="s">
        <v>426</v>
      </c>
    </row>
    <row r="2" spans="1:9" x14ac:dyDescent="0.3">
      <c r="A2" t="s">
        <v>20</v>
      </c>
      <c r="B2" t="s">
        <v>21</v>
      </c>
      <c r="C2">
        <v>77625</v>
      </c>
      <c r="D2">
        <v>1555086049689</v>
      </c>
      <c r="E2">
        <v>27706270538</v>
      </c>
      <c r="F2">
        <v>0.27544999999999997</v>
      </c>
      <c r="G2">
        <v>20032296</v>
      </c>
      <c r="H2">
        <v>-0.26998955724195595</v>
      </c>
      <c r="I2">
        <v>-2.7081622791946165</v>
      </c>
    </row>
    <row r="3" spans="1:9" x14ac:dyDescent="0.3">
      <c r="A3" t="s">
        <v>22</v>
      </c>
      <c r="B3" t="s">
        <v>23</v>
      </c>
      <c r="C3">
        <v>2127.3200000000002</v>
      </c>
      <c r="D3">
        <v>256742909305</v>
      </c>
      <c r="E3">
        <v>11467644219</v>
      </c>
      <c r="F3">
        <v>-2.0459999999999999E-2</v>
      </c>
      <c r="G3">
        <v>120685618.4990976</v>
      </c>
      <c r="H3">
        <v>-0.35164690734941828</v>
      </c>
      <c r="I3">
        <v>-6.0984806126137565</v>
      </c>
    </row>
    <row r="4" spans="1:9" x14ac:dyDescent="0.3">
      <c r="A4" t="s">
        <v>24</v>
      </c>
      <c r="B4" t="s">
        <v>25</v>
      </c>
      <c r="C4">
        <v>0.99902000000000002</v>
      </c>
      <c r="D4">
        <v>189656929329</v>
      </c>
      <c r="E4">
        <v>50796303933</v>
      </c>
      <c r="F4">
        <v>1.1050000000000001E-2</v>
      </c>
      <c r="G4">
        <v>189842359508.68381</v>
      </c>
      <c r="H4">
        <v>-1.9520477448468752E-4</v>
      </c>
      <c r="I4">
        <v>-4.4205563985474129E-2</v>
      </c>
    </row>
    <row r="5" spans="1:9" x14ac:dyDescent="0.3">
      <c r="A5" t="s">
        <v>26</v>
      </c>
      <c r="B5" t="s">
        <v>27</v>
      </c>
      <c r="C5">
        <v>652.91</v>
      </c>
      <c r="D5">
        <v>87990533731</v>
      </c>
      <c r="E5">
        <v>621619496</v>
      </c>
      <c r="F5">
        <v>1.47464</v>
      </c>
      <c r="G5">
        <v>134785126.07999989</v>
      </c>
      <c r="H5">
        <v>-0.19746184012934381</v>
      </c>
      <c r="I5">
        <v>-2.9628913906440819</v>
      </c>
    </row>
    <row r="6" spans="1:9" x14ac:dyDescent="0.3">
      <c r="A6" t="s">
        <v>28</v>
      </c>
      <c r="B6" t="s">
        <v>29</v>
      </c>
      <c r="C6">
        <v>1.37</v>
      </c>
      <c r="D6">
        <v>84979941132</v>
      </c>
      <c r="E6">
        <v>1470380370</v>
      </c>
      <c r="F6">
        <v>0.25681999999999999</v>
      </c>
      <c r="G6">
        <v>61829045420</v>
      </c>
      <c r="H6">
        <v>-0.3644693030301106</v>
      </c>
      <c r="I6">
        <v>-4.1430433482969358</v>
      </c>
    </row>
    <row r="7" spans="1:9" x14ac:dyDescent="0.3">
      <c r="A7" t="s">
        <v>30</v>
      </c>
      <c r="B7" t="s">
        <v>31</v>
      </c>
      <c r="C7">
        <v>0.99968699999999999</v>
      </c>
      <c r="D7">
        <v>76175765204</v>
      </c>
      <c r="E7">
        <v>12637332810</v>
      </c>
      <c r="F7">
        <v>-3.7499999999999999E-3</v>
      </c>
      <c r="G7">
        <v>76198413148.080017</v>
      </c>
      <c r="H7">
        <v>-5.64363787272031E-4</v>
      </c>
      <c r="I7">
        <v>-1.6003052324647926E-3</v>
      </c>
    </row>
    <row r="8" spans="1:9" x14ac:dyDescent="0.3">
      <c r="A8" t="s">
        <v>32</v>
      </c>
      <c r="B8" t="s">
        <v>33</v>
      </c>
      <c r="C8">
        <v>86.45</v>
      </c>
      <c r="D8">
        <v>49959119159</v>
      </c>
      <c r="E8">
        <v>3111805213</v>
      </c>
      <c r="F8">
        <v>1.8313600000000001</v>
      </c>
      <c r="G8">
        <v>577862068.72740972</v>
      </c>
      <c r="H8">
        <v>-0.31254002498921779</v>
      </c>
      <c r="I8">
        <v>-5.0537460497648681</v>
      </c>
    </row>
    <row r="9" spans="1:9" x14ac:dyDescent="0.3">
      <c r="A9" t="s">
        <v>34</v>
      </c>
      <c r="B9" t="s">
        <v>35</v>
      </c>
      <c r="C9">
        <v>0.36092299999999999</v>
      </c>
      <c r="D9">
        <v>34215005797</v>
      </c>
      <c r="E9">
        <v>515229030</v>
      </c>
      <c r="F9">
        <v>1.20871</v>
      </c>
      <c r="G9">
        <v>94804052384.574402</v>
      </c>
      <c r="H9">
        <v>0.39567427417631823</v>
      </c>
      <c r="I9">
        <v>2.6047322055623945</v>
      </c>
    </row>
    <row r="10" spans="1:9" x14ac:dyDescent="0.3">
      <c r="A10" t="s">
        <v>36</v>
      </c>
      <c r="B10" t="s">
        <v>37</v>
      </c>
      <c r="C10">
        <v>1.0349999999999999</v>
      </c>
      <c r="D10">
        <v>18595367647</v>
      </c>
      <c r="E10">
        <v>21994349</v>
      </c>
      <c r="F10">
        <v>0.28842000000000001</v>
      </c>
      <c r="G10">
        <v>17963209954.466999</v>
      </c>
      <c r="I10">
        <v>0.15266824030407483</v>
      </c>
    </row>
    <row r="11" spans="1:9" x14ac:dyDescent="0.3">
      <c r="A11" t="s">
        <v>38</v>
      </c>
      <c r="B11" t="s">
        <v>39</v>
      </c>
      <c r="C11">
        <v>0.10519299999999999</v>
      </c>
      <c r="D11">
        <v>16230432513</v>
      </c>
      <c r="E11">
        <v>690699522</v>
      </c>
      <c r="F11">
        <v>1.5492300000000001</v>
      </c>
      <c r="G11">
        <v>154326586383.7052</v>
      </c>
      <c r="H11">
        <v>-0.46872006955437379</v>
      </c>
      <c r="I11">
        <v>-7.7199288742425418</v>
      </c>
    </row>
    <row r="12" spans="1:9" x14ac:dyDescent="0.3">
      <c r="A12" t="s">
        <v>40</v>
      </c>
      <c r="B12" t="s">
        <v>41</v>
      </c>
      <c r="C12">
        <v>58.51</v>
      </c>
      <c r="D12">
        <v>13947374086</v>
      </c>
      <c r="E12">
        <v>1363799400</v>
      </c>
      <c r="F12">
        <v>19.842790000000001</v>
      </c>
      <c r="G12">
        <v>238385315.95414141</v>
      </c>
      <c r="H12">
        <v>-1.3318135406100259E-2</v>
      </c>
      <c r="I12">
        <v>49.695164804451998</v>
      </c>
    </row>
    <row r="13" spans="1:9" x14ac:dyDescent="0.3">
      <c r="A13" t="s">
        <v>42</v>
      </c>
      <c r="B13" t="s">
        <v>43</v>
      </c>
      <c r="C13">
        <v>57.18</v>
      </c>
      <c r="D13">
        <v>12170714508</v>
      </c>
      <c r="E13">
        <v>39478346</v>
      </c>
      <c r="F13">
        <v>8.9389999999999997E-2</v>
      </c>
      <c r="G13">
        <v>212858550</v>
      </c>
      <c r="H13">
        <v>-0.24685902293482925</v>
      </c>
      <c r="I13">
        <v>-2.6285246538914002</v>
      </c>
    </row>
    <row r="14" spans="1:9" x14ac:dyDescent="0.3">
      <c r="A14" t="s">
        <v>44</v>
      </c>
      <c r="B14" t="s">
        <v>45</v>
      </c>
      <c r="C14">
        <v>665.49</v>
      </c>
      <c r="D14">
        <v>11108254786</v>
      </c>
      <c r="E14">
        <v>1133038170</v>
      </c>
      <c r="F14">
        <v>13.32569</v>
      </c>
      <c r="G14">
        <v>16688225.1655448</v>
      </c>
      <c r="H14">
        <v>-9.4046672616777696E-2</v>
      </c>
      <c r="I14">
        <v>26.535394257960355</v>
      </c>
    </row>
    <row r="15" spans="1:9" x14ac:dyDescent="0.3">
      <c r="A15" t="s">
        <v>46</v>
      </c>
      <c r="B15" t="s">
        <v>47</v>
      </c>
      <c r="C15">
        <v>0.99964600000000003</v>
      </c>
      <c r="D15">
        <v>10712269912</v>
      </c>
      <c r="E15">
        <v>5045202</v>
      </c>
      <c r="F15">
        <v>5.0600000000000003E-3</v>
      </c>
      <c r="G15">
        <v>10715847313.454901</v>
      </c>
      <c r="H15">
        <v>2.6770289844031442E-3</v>
      </c>
      <c r="I15">
        <v>-2.4320300565846963E-2</v>
      </c>
    </row>
    <row r="16" spans="1:9" x14ac:dyDescent="0.3">
      <c r="A16" t="s">
        <v>48</v>
      </c>
      <c r="B16" t="s">
        <v>49</v>
      </c>
      <c r="C16">
        <v>10.06</v>
      </c>
      <c r="D16">
        <v>9263575427</v>
      </c>
      <c r="E16">
        <v>608974</v>
      </c>
      <c r="F16">
        <v>0.19786000000000001</v>
      </c>
      <c r="G16">
        <v>920578240.89999998</v>
      </c>
      <c r="H16">
        <v>-0.23917070692341913</v>
      </c>
      <c r="I16">
        <v>-0.71973090489243552</v>
      </c>
    </row>
    <row r="17" spans="1:9" x14ac:dyDescent="0.3">
      <c r="A17" t="s">
        <v>50</v>
      </c>
      <c r="B17" t="s">
        <v>51</v>
      </c>
      <c r="C17">
        <v>0.24875900000000001</v>
      </c>
      <c r="D17">
        <v>9203257550</v>
      </c>
      <c r="E17">
        <v>336057058</v>
      </c>
      <c r="F17">
        <v>-0.13300000000000001</v>
      </c>
      <c r="G17">
        <v>37001084154.715309</v>
      </c>
      <c r="H17">
        <v>-0.29343451903324225</v>
      </c>
      <c r="I17">
        <v>-6.1145290019070497</v>
      </c>
    </row>
    <row r="18" spans="1:9" x14ac:dyDescent="0.3">
      <c r="A18" t="s">
        <v>52</v>
      </c>
      <c r="B18" t="s">
        <v>53</v>
      </c>
      <c r="C18">
        <v>376.18</v>
      </c>
      <c r="D18">
        <v>7538216142</v>
      </c>
      <c r="E18">
        <v>374857426</v>
      </c>
      <c r="F18">
        <v>1.87476</v>
      </c>
      <c r="G18">
        <v>20037246.77165078</v>
      </c>
      <c r="H18">
        <v>-0.17884023367537646</v>
      </c>
      <c r="I18">
        <v>-13.292683780606673</v>
      </c>
    </row>
    <row r="19" spans="1:9" x14ac:dyDescent="0.3">
      <c r="A19" t="s">
        <v>54</v>
      </c>
      <c r="B19" t="s">
        <v>55</v>
      </c>
      <c r="C19">
        <v>402.63</v>
      </c>
      <c r="D19">
        <v>7424363923</v>
      </c>
      <c r="E19">
        <v>162041670</v>
      </c>
      <c r="F19">
        <v>1.17431</v>
      </c>
      <c r="G19">
        <v>18446744.073709551</v>
      </c>
      <c r="H19">
        <v>-0.35748960128909968</v>
      </c>
      <c r="I19">
        <v>1.9649242091725676</v>
      </c>
    </row>
    <row r="20" spans="1:9" x14ac:dyDescent="0.3">
      <c r="A20" t="s">
        <v>56</v>
      </c>
      <c r="B20" t="s">
        <v>57</v>
      </c>
      <c r="C20">
        <v>9.6199999999999992</v>
      </c>
      <c r="D20">
        <v>6989035905</v>
      </c>
      <c r="E20">
        <v>299620032</v>
      </c>
      <c r="F20">
        <v>0.27684999999999998</v>
      </c>
      <c r="G20">
        <v>727099970.42554772</v>
      </c>
      <c r="H20">
        <v>-0.76263507813969977</v>
      </c>
      <c r="I20">
        <v>-6.3668807713147046</v>
      </c>
    </row>
    <row r="21" spans="1:9" x14ac:dyDescent="0.3">
      <c r="A21" t="s">
        <v>58</v>
      </c>
      <c r="B21" t="s">
        <v>59</v>
      </c>
      <c r="C21">
        <v>0.15551100000000001</v>
      </c>
      <c r="D21">
        <v>5995528680</v>
      </c>
      <c r="E21">
        <v>10426205</v>
      </c>
      <c r="F21">
        <v>4.1122899999999998</v>
      </c>
      <c r="G21">
        <v>38582169190.185722</v>
      </c>
      <c r="H21">
        <v>0.90759973187467158</v>
      </c>
      <c r="I21">
        <v>-1.4206524132835012</v>
      </c>
    </row>
    <row r="22" spans="1:9" x14ac:dyDescent="0.3">
      <c r="A22" t="s">
        <v>60</v>
      </c>
      <c r="B22" t="s">
        <v>61</v>
      </c>
      <c r="C22">
        <v>2.04</v>
      </c>
      <c r="D22">
        <v>5478469758</v>
      </c>
      <c r="E22">
        <v>342531714</v>
      </c>
      <c r="F22">
        <v>4.1837299999999997</v>
      </c>
      <c r="G22">
        <v>2692509486.4343681</v>
      </c>
      <c r="H22">
        <v>-0.84319713447796596</v>
      </c>
      <c r="I22">
        <v>-4.1933967248617057</v>
      </c>
    </row>
    <row r="23" spans="1:9" x14ac:dyDescent="0.3">
      <c r="A23" t="s">
        <v>62</v>
      </c>
      <c r="B23" t="s">
        <v>63</v>
      </c>
      <c r="C23">
        <v>0.144819</v>
      </c>
      <c r="D23">
        <v>4853013681</v>
      </c>
      <c r="E23">
        <v>86499611</v>
      </c>
      <c r="F23">
        <v>1.5304199999999999</v>
      </c>
      <c r="G23">
        <v>33521234417.573471</v>
      </c>
      <c r="H23">
        <v>-0.58548653793091465</v>
      </c>
      <c r="I23">
        <v>-9.0729778300134019</v>
      </c>
    </row>
    <row r="24" spans="1:9" x14ac:dyDescent="0.3">
      <c r="A24" t="s">
        <v>64</v>
      </c>
      <c r="B24" t="s">
        <v>65</v>
      </c>
      <c r="C24">
        <v>0.99992000000000003</v>
      </c>
      <c r="D24">
        <v>4670209950</v>
      </c>
      <c r="E24">
        <v>2185445563</v>
      </c>
      <c r="F24">
        <v>3.0000000000000001E-5</v>
      </c>
      <c r="G24">
        <v>4670526932.3875847</v>
      </c>
      <c r="H24">
        <v>1.1011117154098476E-3</v>
      </c>
      <c r="I24">
        <v>5.9678160215982982E-2</v>
      </c>
    </row>
    <row r="25" spans="1:9" x14ac:dyDescent="0.3">
      <c r="A25" t="s">
        <v>68</v>
      </c>
      <c r="B25" t="s">
        <v>69</v>
      </c>
      <c r="C25">
        <v>0.99930799999999997</v>
      </c>
      <c r="D25">
        <v>4441849712</v>
      </c>
      <c r="E25">
        <v>57987782</v>
      </c>
      <c r="F25">
        <v>-1.5900000000000001E-2</v>
      </c>
      <c r="G25">
        <v>4445300708.1920414</v>
      </c>
      <c r="H25">
        <v>-2.3653087844086539E-3</v>
      </c>
      <c r="I25">
        <v>-9.3638872835028919E-2</v>
      </c>
    </row>
    <row r="26" spans="1:9" x14ac:dyDescent="0.3">
      <c r="A26" t="s">
        <v>66</v>
      </c>
      <c r="B26" t="s">
        <v>67</v>
      </c>
      <c r="C26">
        <v>1.1100000000000001</v>
      </c>
      <c r="D26">
        <v>4438668582</v>
      </c>
      <c r="E26">
        <v>768028698</v>
      </c>
      <c r="F26">
        <v>4.5434099999999997</v>
      </c>
      <c r="G26">
        <v>4005418369.566699</v>
      </c>
      <c r="H26">
        <v>-1.5169068696385468</v>
      </c>
      <c r="I26">
        <v>-7.1601519320704128</v>
      </c>
    </row>
    <row r="27" spans="1:9" x14ac:dyDescent="0.3">
      <c r="A27" t="s">
        <v>70</v>
      </c>
      <c r="B27" t="s">
        <v>71</v>
      </c>
      <c r="C27">
        <v>0.99981900000000001</v>
      </c>
      <c r="D27">
        <v>4351982961</v>
      </c>
      <c r="E27">
        <v>205494148</v>
      </c>
      <c r="F27">
        <v>1.8280000000000001E-2</v>
      </c>
      <c r="G27">
        <v>4352768249.8514957</v>
      </c>
      <c r="H27">
        <v>8.3625673943511487E-4</v>
      </c>
      <c r="I27">
        <v>2.9514382424712448E-2</v>
      </c>
    </row>
    <row r="28" spans="1:9" x14ac:dyDescent="0.3">
      <c r="A28" t="s">
        <v>72</v>
      </c>
      <c r="B28" t="s">
        <v>73</v>
      </c>
      <c r="C28">
        <v>54.03</v>
      </c>
      <c r="D28">
        <v>4171507646</v>
      </c>
      <c r="E28">
        <v>225286543</v>
      </c>
      <c r="F28">
        <v>-9.3060000000000004E-2</v>
      </c>
      <c r="G28">
        <v>77186520.733471349</v>
      </c>
      <c r="H28">
        <v>-0.62285887553227504</v>
      </c>
      <c r="I28">
        <v>-5.3993416501327403</v>
      </c>
    </row>
    <row r="29" spans="1:9" x14ac:dyDescent="0.3">
      <c r="A29" t="s">
        <v>74</v>
      </c>
      <c r="B29" t="s">
        <v>75</v>
      </c>
      <c r="C29">
        <v>9.4</v>
      </c>
      <c r="D29">
        <v>4055847507</v>
      </c>
      <c r="E29">
        <v>206722819</v>
      </c>
      <c r="F29">
        <v>2.0732599999999999</v>
      </c>
      <c r="G29">
        <v>431771961.17721188</v>
      </c>
      <c r="H29">
        <v>-0.5270701326194368</v>
      </c>
      <c r="I29">
        <v>-3.1470069290993865</v>
      </c>
    </row>
    <row r="30" spans="1:9" x14ac:dyDescent="0.3">
      <c r="A30" t="s">
        <v>76</v>
      </c>
      <c r="B30" t="s">
        <v>77</v>
      </c>
      <c r="C30">
        <v>8.8805999999999996E-2</v>
      </c>
      <c r="D30">
        <v>3851652825</v>
      </c>
      <c r="E30">
        <v>41683137</v>
      </c>
      <c r="F30">
        <v>-0.39122000000000001</v>
      </c>
      <c r="G30">
        <v>43373490527.101768</v>
      </c>
      <c r="H30">
        <v>-0.18592621031752665</v>
      </c>
      <c r="I30">
        <v>-4.5020050111720744</v>
      </c>
    </row>
    <row r="31" spans="1:9" x14ac:dyDescent="0.3">
      <c r="A31" t="s">
        <v>78</v>
      </c>
      <c r="B31" t="s">
        <v>79</v>
      </c>
      <c r="C31">
        <v>2.84</v>
      </c>
      <c r="D31">
        <v>3698841591</v>
      </c>
      <c r="E31">
        <v>8552103</v>
      </c>
      <c r="F31">
        <v>-15.32451</v>
      </c>
      <c r="G31">
        <v>1303766294.687613</v>
      </c>
      <c r="H31">
        <v>-0.53550966207052098</v>
      </c>
      <c r="I31">
        <v>-15.498655555094864</v>
      </c>
    </row>
    <row r="32" spans="1:9" x14ac:dyDescent="0.3">
      <c r="A32" t="s">
        <v>80</v>
      </c>
      <c r="B32" t="s">
        <v>81</v>
      </c>
      <c r="C32">
        <v>0.99973599999999996</v>
      </c>
      <c r="D32">
        <v>3634660082</v>
      </c>
      <c r="E32">
        <v>27817967</v>
      </c>
      <c r="F32">
        <v>-8.5400000000000007E-3</v>
      </c>
      <c r="G32">
        <v>3635773224.4037209</v>
      </c>
      <c r="H32">
        <v>-7.7113846753832978E-3</v>
      </c>
      <c r="I32">
        <v>8.6002119353038777E-3</v>
      </c>
    </row>
    <row r="33" spans="1:9" x14ac:dyDescent="0.3">
      <c r="A33" t="s">
        <v>82</v>
      </c>
      <c r="B33" t="s">
        <v>83</v>
      </c>
      <c r="C33">
        <v>7.5084499999999998E-3</v>
      </c>
      <c r="D33">
        <v>3598491793</v>
      </c>
      <c r="E33">
        <v>18635430</v>
      </c>
      <c r="F33">
        <v>7.5850000000000001E-2</v>
      </c>
      <c r="G33">
        <v>479088411035.2702</v>
      </c>
      <c r="H33">
        <v>-0.4191197650307209</v>
      </c>
      <c r="I33">
        <v>-0.15384555735126018</v>
      </c>
    </row>
    <row r="34" spans="1:9" x14ac:dyDescent="0.3">
      <c r="A34" t="s">
        <v>84</v>
      </c>
      <c r="B34" t="s">
        <v>85</v>
      </c>
      <c r="C34">
        <v>5.8000000000000004E-6</v>
      </c>
      <c r="D34">
        <v>3416409596</v>
      </c>
      <c r="E34">
        <v>59628616</v>
      </c>
      <c r="F34">
        <v>1.0641099999999999</v>
      </c>
      <c r="G34">
        <v>589243270257029.5</v>
      </c>
      <c r="H34">
        <v>-0.35139883319247217</v>
      </c>
      <c r="I34">
        <v>-7.7832922731106606</v>
      </c>
    </row>
    <row r="35" spans="1:9" x14ac:dyDescent="0.3">
      <c r="A35" t="s">
        <v>86</v>
      </c>
      <c r="B35" t="s">
        <v>87</v>
      </c>
      <c r="C35">
        <v>6.9209000000000007E-2</v>
      </c>
      <c r="D35">
        <v>3100530347</v>
      </c>
      <c r="E35">
        <v>9669861</v>
      </c>
      <c r="F35">
        <v>0.63295999999999997</v>
      </c>
      <c r="G35">
        <v>44782685266.139702</v>
      </c>
      <c r="H35">
        <v>-0.44028155194728957</v>
      </c>
      <c r="I35">
        <v>-6.6222142406727675</v>
      </c>
    </row>
    <row r="36" spans="1:9" x14ac:dyDescent="0.3">
      <c r="A36" t="s">
        <v>88</v>
      </c>
      <c r="B36" t="s">
        <v>89</v>
      </c>
      <c r="C36">
        <v>1.1200000000000001</v>
      </c>
      <c r="D36">
        <v>2985300571</v>
      </c>
      <c r="E36">
        <v>224834</v>
      </c>
      <c r="G36">
        <v>2655561662.5436029</v>
      </c>
      <c r="I36">
        <v>0.13357663397083344</v>
      </c>
    </row>
    <row r="37" spans="1:9" x14ac:dyDescent="0.3">
      <c r="A37" t="s">
        <v>90</v>
      </c>
      <c r="B37" t="s">
        <v>91</v>
      </c>
      <c r="C37">
        <v>283.02</v>
      </c>
      <c r="D37">
        <v>2712542501</v>
      </c>
      <c r="E37">
        <v>224803029</v>
      </c>
      <c r="F37">
        <v>7.9411100000000001</v>
      </c>
      <c r="G37">
        <v>9597491</v>
      </c>
      <c r="H37">
        <v>-1.781568348964804</v>
      </c>
      <c r="I37">
        <v>-4.4596294501491007</v>
      </c>
    </row>
    <row r="38" spans="1:9" x14ac:dyDescent="0.3">
      <c r="A38" t="s">
        <v>92</v>
      </c>
      <c r="B38" t="s">
        <v>93</v>
      </c>
      <c r="C38">
        <v>4522.5200000000004</v>
      </c>
      <c r="D38">
        <v>2682242903</v>
      </c>
      <c r="E38">
        <v>214678761</v>
      </c>
      <c r="F38">
        <v>0.92886000000000002</v>
      </c>
      <c r="G38">
        <v>592823.65953199996</v>
      </c>
      <c r="H38">
        <v>1.202015389017762E-2</v>
      </c>
      <c r="I38">
        <v>-3.4818058999431787</v>
      </c>
    </row>
    <row r="39" spans="1:9" x14ac:dyDescent="0.3">
      <c r="A39" t="s">
        <v>94</v>
      </c>
      <c r="B39" t="s">
        <v>95</v>
      </c>
      <c r="C39">
        <v>0.99975899999999995</v>
      </c>
      <c r="D39">
        <v>2678380191</v>
      </c>
      <c r="E39">
        <v>58566228</v>
      </c>
      <c r="F39">
        <v>3.0599999999999998E-3</v>
      </c>
      <c r="G39">
        <v>2679022219.0437779</v>
      </c>
      <c r="H39">
        <v>4.8599483188784334E-4</v>
      </c>
      <c r="I39">
        <v>1.8589930632178946E-2</v>
      </c>
    </row>
    <row r="40" spans="1:9" x14ac:dyDescent="0.3">
      <c r="A40" t="s">
        <v>96</v>
      </c>
      <c r="B40" t="s">
        <v>97</v>
      </c>
      <c r="C40">
        <v>1</v>
      </c>
      <c r="D40">
        <v>2537560312</v>
      </c>
      <c r="E40">
        <v>0</v>
      </c>
      <c r="F40">
        <v>0</v>
      </c>
      <c r="G40">
        <v>2537560311.6504488</v>
      </c>
      <c r="H40">
        <v>0</v>
      </c>
      <c r="I40">
        <v>0</v>
      </c>
    </row>
    <row r="41" spans="1:9" x14ac:dyDescent="0.3">
      <c r="A41" t="s">
        <v>98</v>
      </c>
      <c r="B41" t="s">
        <v>99</v>
      </c>
      <c r="C41">
        <v>3.62</v>
      </c>
      <c r="D41">
        <v>2304070208</v>
      </c>
      <c r="E41">
        <v>171724427</v>
      </c>
      <c r="F41">
        <v>-0.41322999999999999</v>
      </c>
      <c r="G41">
        <v>635813562.74284792</v>
      </c>
      <c r="H41">
        <v>-0.99050516050255055</v>
      </c>
      <c r="I41">
        <v>0.58632792341699735</v>
      </c>
    </row>
    <row r="42" spans="1:9" x14ac:dyDescent="0.3">
      <c r="A42" t="s">
        <v>100</v>
      </c>
      <c r="B42" t="s">
        <v>101</v>
      </c>
      <c r="C42">
        <v>1.75</v>
      </c>
      <c r="D42">
        <v>2266659357</v>
      </c>
      <c r="E42">
        <v>379043172</v>
      </c>
      <c r="F42">
        <v>6.3548799999999996</v>
      </c>
      <c r="G42">
        <v>1296058293</v>
      </c>
      <c r="H42">
        <v>-0.11812262464886564</v>
      </c>
      <c r="I42">
        <v>10.639836616397185</v>
      </c>
    </row>
    <row r="43" spans="1:9" x14ac:dyDescent="0.3">
      <c r="A43" t="s">
        <v>102</v>
      </c>
      <c r="B43" t="s">
        <v>103</v>
      </c>
      <c r="C43">
        <v>0.68358699999999994</v>
      </c>
      <c r="D43">
        <v>2257879959</v>
      </c>
      <c r="E43">
        <v>38560593</v>
      </c>
      <c r="F43">
        <v>9.2082300000000004</v>
      </c>
      <c r="G43">
        <v>3302294382.53684</v>
      </c>
      <c r="H43">
        <v>-0.34267195050204619</v>
      </c>
      <c r="I43">
        <v>1.0438859455008442</v>
      </c>
    </row>
    <row r="44" spans="1:9" x14ac:dyDescent="0.3">
      <c r="A44" t="s">
        <v>104</v>
      </c>
      <c r="B44" t="s">
        <v>105</v>
      </c>
      <c r="C44">
        <v>1.1299999999999999</v>
      </c>
      <c r="D44">
        <v>2140904879</v>
      </c>
      <c r="E44">
        <v>1108857</v>
      </c>
      <c r="F44">
        <v>-0.23561000000000001</v>
      </c>
      <c r="G44">
        <v>1889716549.0305359</v>
      </c>
      <c r="H44">
        <v>0.42795131373949907</v>
      </c>
      <c r="I44">
        <v>2.8911816051841989E-2</v>
      </c>
    </row>
    <row r="45" spans="1:9" x14ac:dyDescent="0.3">
      <c r="A45" t="s">
        <v>106</v>
      </c>
      <c r="B45" t="s">
        <v>107</v>
      </c>
      <c r="C45">
        <v>1.27</v>
      </c>
      <c r="D45">
        <v>2135906168</v>
      </c>
      <c r="E45">
        <v>108467907</v>
      </c>
      <c r="F45">
        <v>2.3259799999999999</v>
      </c>
      <c r="G45">
        <v>1684814367.2796321</v>
      </c>
      <c r="H45">
        <v>-0.54818035898782391</v>
      </c>
      <c r="I45">
        <v>-4.5023257036709508</v>
      </c>
    </row>
    <row r="46" spans="1:9" x14ac:dyDescent="0.3">
      <c r="A46" t="s">
        <v>108</v>
      </c>
      <c r="B46" t="s">
        <v>109</v>
      </c>
      <c r="C46">
        <v>4524.24</v>
      </c>
      <c r="D46">
        <v>2128577072</v>
      </c>
      <c r="E46">
        <v>127740373</v>
      </c>
      <c r="F46">
        <v>0.93718000000000001</v>
      </c>
      <c r="G46">
        <v>470301.37</v>
      </c>
      <c r="H46">
        <v>3.1792901976748576E-2</v>
      </c>
      <c r="I46">
        <v>-3.4895275090278206</v>
      </c>
    </row>
    <row r="47" spans="1:9" x14ac:dyDescent="0.3">
      <c r="A47" t="s">
        <v>110</v>
      </c>
      <c r="B47" t="s">
        <v>111</v>
      </c>
      <c r="C47">
        <v>0.40456700000000001</v>
      </c>
      <c r="D47">
        <v>1967585323</v>
      </c>
      <c r="E47">
        <v>257627665</v>
      </c>
      <c r="F47">
        <v>7.5934699999999999</v>
      </c>
      <c r="G47">
        <v>4869330647</v>
      </c>
      <c r="H47">
        <v>-0.85457540649667207</v>
      </c>
      <c r="I47">
        <v>5.4569317177622905</v>
      </c>
    </row>
    <row r="48" spans="1:9" x14ac:dyDescent="0.3">
      <c r="A48" t="s">
        <v>112</v>
      </c>
      <c r="B48" t="s">
        <v>113</v>
      </c>
      <c r="C48">
        <v>6.1742999999999999E-2</v>
      </c>
      <c r="D48">
        <v>1960851840</v>
      </c>
      <c r="E48">
        <v>32416007</v>
      </c>
      <c r="F48">
        <v>0.26554</v>
      </c>
      <c r="G48">
        <v>31773075199</v>
      </c>
      <c r="H48">
        <v>8.5060875340040809E-2</v>
      </c>
      <c r="I48">
        <v>-9.2719290133201966</v>
      </c>
    </row>
    <row r="49" spans="1:9" x14ac:dyDescent="0.3">
      <c r="A49" t="s">
        <v>114</v>
      </c>
      <c r="B49" t="s">
        <v>115</v>
      </c>
      <c r="C49">
        <v>0.71816000000000002</v>
      </c>
      <c r="D49">
        <v>1850059896</v>
      </c>
      <c r="E49">
        <v>175590155</v>
      </c>
      <c r="F49">
        <v>8.3919800000000002</v>
      </c>
      <c r="G49">
        <v>2579922243.4698935</v>
      </c>
      <c r="H49">
        <v>4.2732958440488078</v>
      </c>
      <c r="I49">
        <v>6.301876591393631</v>
      </c>
    </row>
    <row r="50" spans="1:9" x14ac:dyDescent="0.3">
      <c r="A50" t="s">
        <v>116</v>
      </c>
      <c r="B50" t="s">
        <v>117</v>
      </c>
      <c r="C50">
        <v>2.0099999999999998E-6</v>
      </c>
      <c r="D50">
        <v>1829904742</v>
      </c>
      <c r="E50">
        <v>88949506</v>
      </c>
      <c r="F50">
        <v>2.0961599999999998</v>
      </c>
      <c r="G50">
        <v>905707664073577.75</v>
      </c>
      <c r="H50">
        <v>7.4229103767335616E-2</v>
      </c>
      <c r="I50">
        <v>2.7640844695456144</v>
      </c>
    </row>
    <row r="51" spans="1:9" x14ac:dyDescent="0.3">
      <c r="A51" t="s">
        <v>118</v>
      </c>
      <c r="B51" t="s">
        <v>119</v>
      </c>
      <c r="C51">
        <v>0.99793699999999996</v>
      </c>
      <c r="D51">
        <v>1780780937</v>
      </c>
      <c r="E51">
        <v>245302</v>
      </c>
      <c r="F51">
        <v>2.0209999999999999E-2</v>
      </c>
      <c r="G51">
        <v>1784462229.1240611</v>
      </c>
      <c r="H51">
        <v>5.862603634798183E-2</v>
      </c>
      <c r="I51">
        <v>2.060919059783636E-2</v>
      </c>
    </row>
    <row r="52" spans="1:9" x14ac:dyDescent="0.3">
      <c r="A52" t="s">
        <v>120</v>
      </c>
      <c r="B52" t="s">
        <v>121</v>
      </c>
      <c r="C52">
        <v>0.99985500000000005</v>
      </c>
      <c r="D52">
        <v>1738007044</v>
      </c>
      <c r="E52">
        <v>126330738</v>
      </c>
      <c r="F52">
        <v>-7.5199999999999998E-3</v>
      </c>
      <c r="G52">
        <v>1738254025.031991</v>
      </c>
      <c r="H52">
        <v>-5.4478521218610477E-3</v>
      </c>
      <c r="I52">
        <v>4.5662620184120875E-4</v>
      </c>
    </row>
    <row r="53" spans="1:9" x14ac:dyDescent="0.3">
      <c r="A53" t="s">
        <v>122</v>
      </c>
      <c r="B53" t="s">
        <v>123</v>
      </c>
      <c r="C53">
        <v>80.91</v>
      </c>
      <c r="D53">
        <v>1699352895</v>
      </c>
      <c r="E53">
        <v>9599728</v>
      </c>
      <c r="F53">
        <v>0.38945999999999997</v>
      </c>
      <c r="G53">
        <v>21000000</v>
      </c>
      <c r="H53">
        <v>-0.23627204871313084</v>
      </c>
      <c r="I53">
        <v>-4.35506655847899</v>
      </c>
    </row>
    <row r="54" spans="1:9" x14ac:dyDescent="0.3">
      <c r="A54" t="s">
        <v>124</v>
      </c>
      <c r="B54" t="s">
        <v>125</v>
      </c>
      <c r="C54">
        <v>7.0705000000000004E-2</v>
      </c>
      <c r="D54">
        <v>1642643254</v>
      </c>
      <c r="E54">
        <v>11226665</v>
      </c>
      <c r="F54">
        <v>2.4282400000000002</v>
      </c>
      <c r="G54">
        <v>23228890832.874542</v>
      </c>
      <c r="H54">
        <v>1.142832523301753E-2</v>
      </c>
      <c r="I54">
        <v>-2.7877835679384351</v>
      </c>
    </row>
    <row r="55" spans="1:9" x14ac:dyDescent="0.3">
      <c r="A55" t="s">
        <v>126</v>
      </c>
      <c r="B55" t="s">
        <v>127</v>
      </c>
      <c r="C55">
        <v>0.152616</v>
      </c>
      <c r="D55">
        <v>1616509074</v>
      </c>
      <c r="E55">
        <v>13530641</v>
      </c>
      <c r="F55">
        <v>1.3580399999999999</v>
      </c>
      <c r="G55">
        <v>10592014967.80899</v>
      </c>
      <c r="H55">
        <v>-0.3945121998644997</v>
      </c>
      <c r="I55">
        <v>-10.239751688685232</v>
      </c>
    </row>
    <row r="56" spans="1:9" x14ac:dyDescent="0.3">
      <c r="A56" t="s">
        <v>128</v>
      </c>
      <c r="B56" t="s">
        <v>129</v>
      </c>
      <c r="C56">
        <v>3.7500000000000001E-6</v>
      </c>
      <c r="D56">
        <v>1577879365</v>
      </c>
      <c r="E56">
        <v>144544184</v>
      </c>
      <c r="F56">
        <v>1.82717</v>
      </c>
      <c r="G56">
        <v>420690000000000</v>
      </c>
      <c r="H56">
        <v>-0.64820364747108716</v>
      </c>
      <c r="I56">
        <v>-7.1632180720147183</v>
      </c>
    </row>
    <row r="57" spans="1:9" x14ac:dyDescent="0.3">
      <c r="A57" t="s">
        <v>130</v>
      </c>
      <c r="B57" t="s">
        <v>131</v>
      </c>
      <c r="C57">
        <v>0.99919599999999997</v>
      </c>
      <c r="D57">
        <v>1519516944</v>
      </c>
      <c r="E57">
        <v>2238315</v>
      </c>
      <c r="F57">
        <v>-6.7400000000000003E-3</v>
      </c>
      <c r="G57">
        <v>1520799941</v>
      </c>
      <c r="H57">
        <v>-2.0785640772402279E-2</v>
      </c>
      <c r="I57">
        <v>-3.5988291909135536E-2</v>
      </c>
    </row>
    <row r="58" spans="1:9" x14ac:dyDescent="0.3">
      <c r="A58" t="s">
        <v>132</v>
      </c>
      <c r="B58" t="s">
        <v>133</v>
      </c>
      <c r="C58">
        <v>2.5499999999999998</v>
      </c>
      <c r="D58">
        <v>1410852460</v>
      </c>
      <c r="E58">
        <v>44915635</v>
      </c>
      <c r="F58">
        <v>1.3657600000000001</v>
      </c>
      <c r="G58">
        <v>552972257.56583953</v>
      </c>
      <c r="H58">
        <v>-0.67768520265549548</v>
      </c>
      <c r="I58">
        <v>-14.346871097471393</v>
      </c>
    </row>
    <row r="59" spans="1:9" x14ac:dyDescent="0.3">
      <c r="A59" t="s">
        <v>136</v>
      </c>
      <c r="B59" t="s">
        <v>137</v>
      </c>
      <c r="C59">
        <v>2.0099999999999998</v>
      </c>
      <c r="D59">
        <v>1407164262</v>
      </c>
      <c r="E59">
        <v>13719093</v>
      </c>
      <c r="F59">
        <v>0.28819</v>
      </c>
      <c r="G59">
        <v>699992035.97879064</v>
      </c>
      <c r="H59">
        <v>-0.15940971873374071</v>
      </c>
      <c r="I59">
        <v>-3.8710864471212432</v>
      </c>
    </row>
    <row r="60" spans="1:9" x14ac:dyDescent="0.3">
      <c r="A60" t="s">
        <v>134</v>
      </c>
      <c r="B60" t="s">
        <v>135</v>
      </c>
      <c r="C60">
        <v>8.98</v>
      </c>
      <c r="D60">
        <v>1406411503</v>
      </c>
      <c r="E60">
        <v>29995577</v>
      </c>
      <c r="F60">
        <v>-0.78042999999999996</v>
      </c>
      <c r="G60">
        <v>156559601.62289631</v>
      </c>
      <c r="H60">
        <v>-0.56416051559823477</v>
      </c>
      <c r="I60">
        <v>-2.8260044865838125</v>
      </c>
    </row>
    <row r="61" spans="1:9" x14ac:dyDescent="0.3">
      <c r="A61" t="s">
        <v>138</v>
      </c>
      <c r="B61" t="s">
        <v>139</v>
      </c>
      <c r="C61">
        <v>88.75</v>
      </c>
      <c r="D61">
        <v>1348184218</v>
      </c>
      <c r="E61">
        <v>166381553</v>
      </c>
      <c r="F61">
        <v>1.1672199999999999</v>
      </c>
      <c r="G61">
        <v>15179911.874935385</v>
      </c>
      <c r="H61">
        <v>-0.72788565888266055</v>
      </c>
      <c r="I61">
        <v>-8.2018127262532694</v>
      </c>
    </row>
    <row r="62" spans="1:9" x14ac:dyDescent="0.3">
      <c r="A62" t="s">
        <v>140</v>
      </c>
      <c r="B62" t="s">
        <v>141</v>
      </c>
      <c r="C62">
        <v>0.99830099999999999</v>
      </c>
      <c r="D62">
        <v>1317757144</v>
      </c>
      <c r="E62">
        <v>3135665</v>
      </c>
      <c r="F62">
        <v>-0.02</v>
      </c>
      <c r="G62">
        <v>1320000000</v>
      </c>
      <c r="H62">
        <v>-1.0009879803440602E-2</v>
      </c>
      <c r="I62">
        <v>-7.9980589497204088E-2</v>
      </c>
    </row>
    <row r="63" spans="1:9" x14ac:dyDescent="0.3">
      <c r="A63" t="s">
        <v>142</v>
      </c>
      <c r="B63" t="s">
        <v>143</v>
      </c>
      <c r="C63">
        <v>1.9</v>
      </c>
      <c r="D63">
        <v>1202146737</v>
      </c>
      <c r="E63">
        <v>16210295</v>
      </c>
      <c r="F63">
        <v>5.7377799999999999</v>
      </c>
      <c r="G63">
        <v>632970288.4273876</v>
      </c>
      <c r="H63">
        <v>-6.9964460628921921E-2</v>
      </c>
      <c r="I63">
        <v>-3.5161602546571928</v>
      </c>
    </row>
    <row r="64" spans="1:9" x14ac:dyDescent="0.3">
      <c r="A64" t="s">
        <v>144</v>
      </c>
      <c r="B64" t="s">
        <v>145</v>
      </c>
      <c r="C64">
        <v>0.99926000000000004</v>
      </c>
      <c r="D64">
        <v>1080201403</v>
      </c>
      <c r="E64">
        <v>2480308</v>
      </c>
      <c r="F64">
        <v>1.034E-2</v>
      </c>
      <c r="G64">
        <v>1081001061.2661819</v>
      </c>
      <c r="H64">
        <v>7.3147164101177733E-4</v>
      </c>
      <c r="I64">
        <v>-8.9254343215381827E-3</v>
      </c>
    </row>
    <row r="65" spans="1:9" x14ac:dyDescent="0.3">
      <c r="A65" t="s">
        <v>146</v>
      </c>
      <c r="B65" t="s">
        <v>147</v>
      </c>
      <c r="C65">
        <v>8</v>
      </c>
      <c r="D65">
        <v>1077600775</v>
      </c>
      <c r="E65">
        <v>2801704</v>
      </c>
      <c r="F65">
        <v>0.64693000000000001</v>
      </c>
      <c r="G65">
        <v>134655021.73556709</v>
      </c>
      <c r="H65">
        <v>0.20980787852562544</v>
      </c>
      <c r="I65">
        <v>-4.0416454085957367</v>
      </c>
    </row>
    <row r="66" spans="1:9" x14ac:dyDescent="0.3">
      <c r="A66" t="s">
        <v>148</v>
      </c>
      <c r="B66" t="s">
        <v>149</v>
      </c>
      <c r="C66">
        <v>73.64</v>
      </c>
      <c r="D66">
        <v>1071707103</v>
      </c>
      <c r="E66">
        <v>9554347</v>
      </c>
      <c r="F66">
        <v>1.5471900000000001</v>
      </c>
      <c r="G66">
        <v>14544176.164081177</v>
      </c>
      <c r="H66">
        <v>-9.0844698906063295E-2</v>
      </c>
      <c r="I66">
        <v>-4.6706862453354789</v>
      </c>
    </row>
    <row r="67" spans="1:9" x14ac:dyDescent="0.3">
      <c r="A67" t="s">
        <v>152</v>
      </c>
      <c r="B67" t="s">
        <v>153</v>
      </c>
      <c r="C67">
        <v>1.22</v>
      </c>
      <c r="D67">
        <v>1053097673</v>
      </c>
      <c r="E67">
        <v>0</v>
      </c>
      <c r="F67">
        <v>0.35172999999999999</v>
      </c>
      <c r="G67">
        <v>860836000.10935998</v>
      </c>
      <c r="H67">
        <v>5.9546031291903272E-2</v>
      </c>
      <c r="I67">
        <v>-0.64773590649508916</v>
      </c>
    </row>
    <row r="68" spans="1:9" x14ac:dyDescent="0.3">
      <c r="A68" t="s">
        <v>150</v>
      </c>
      <c r="B68" t="s">
        <v>151</v>
      </c>
      <c r="C68">
        <v>2.06</v>
      </c>
      <c r="D68">
        <v>1049545377</v>
      </c>
      <c r="E68">
        <v>35087930</v>
      </c>
      <c r="F68">
        <v>2.6810700000000001</v>
      </c>
      <c r="G68">
        <v>509738500.58006001</v>
      </c>
      <c r="H68">
        <v>-0.36321184248508648</v>
      </c>
      <c r="I68">
        <v>2.7892255445955718</v>
      </c>
    </row>
    <row r="69" spans="1:9" x14ac:dyDescent="0.3">
      <c r="A69" t="s">
        <v>154</v>
      </c>
      <c r="B69" t="s">
        <v>155</v>
      </c>
      <c r="C69">
        <v>0.115578</v>
      </c>
      <c r="D69">
        <v>1029523423</v>
      </c>
      <c r="E69">
        <v>35020047</v>
      </c>
      <c r="F69">
        <v>1.29657</v>
      </c>
      <c r="G69">
        <v>8914080475.5440235</v>
      </c>
      <c r="H69">
        <v>3.4521222066742678E-2</v>
      </c>
      <c r="I69">
        <v>-1.1306691103516555</v>
      </c>
    </row>
    <row r="70" spans="1:9" x14ac:dyDescent="0.3">
      <c r="A70" t="s">
        <v>156</v>
      </c>
      <c r="B70" t="s">
        <v>157</v>
      </c>
      <c r="C70">
        <v>1</v>
      </c>
      <c r="D70">
        <v>1027910673</v>
      </c>
      <c r="E70">
        <v>11741382</v>
      </c>
      <c r="F70">
        <v>2.7009999999999999E-2</v>
      </c>
      <c r="G70">
        <v>1027858682.01</v>
      </c>
      <c r="H70">
        <v>3.6520957212520331E-3</v>
      </c>
      <c r="I70">
        <v>2.9818843530029011E-2</v>
      </c>
    </row>
    <row r="71" spans="1:9" x14ac:dyDescent="0.3">
      <c r="A71" t="s">
        <v>158</v>
      </c>
      <c r="B71" t="s">
        <v>159</v>
      </c>
      <c r="C71">
        <v>1.93</v>
      </c>
      <c r="D71">
        <v>999815531</v>
      </c>
      <c r="E71">
        <v>62513512</v>
      </c>
      <c r="F71">
        <v>3.1774300000000002</v>
      </c>
      <c r="G71">
        <v>518743261.01407421</v>
      </c>
      <c r="H71">
        <v>-1.536708769952134</v>
      </c>
      <c r="I71">
        <v>3.2769830750706395</v>
      </c>
    </row>
    <row r="72" spans="1:9" x14ac:dyDescent="0.3">
      <c r="A72" t="s">
        <v>160</v>
      </c>
      <c r="B72" t="s">
        <v>161</v>
      </c>
      <c r="C72">
        <v>1.1000000000000001</v>
      </c>
      <c r="D72">
        <v>989146526</v>
      </c>
      <c r="E72">
        <v>0</v>
      </c>
      <c r="F72">
        <v>1.123E-2</v>
      </c>
      <c r="G72">
        <v>895904381.31546998</v>
      </c>
      <c r="H72">
        <v>0</v>
      </c>
      <c r="I72">
        <v>8.1673351916064146E-2</v>
      </c>
    </row>
    <row r="73" spans="1:9" x14ac:dyDescent="0.3">
      <c r="A73" t="s">
        <v>162</v>
      </c>
      <c r="B73" t="s">
        <v>163</v>
      </c>
      <c r="C73">
        <v>11.09</v>
      </c>
      <c r="D73">
        <v>985963054</v>
      </c>
      <c r="E73">
        <v>0</v>
      </c>
      <c r="F73">
        <v>9.6200000000000001E-3</v>
      </c>
      <c r="G73">
        <v>88925714.028620005</v>
      </c>
      <c r="H73">
        <v>0</v>
      </c>
      <c r="I73">
        <v>6.6244584572892867E-2</v>
      </c>
    </row>
    <row r="74" spans="1:9" x14ac:dyDescent="0.3">
      <c r="A74" t="s">
        <v>164</v>
      </c>
      <c r="B74" t="s">
        <v>165</v>
      </c>
      <c r="C74">
        <v>9.1508000000000006E-2</v>
      </c>
      <c r="D74">
        <v>973978951</v>
      </c>
      <c r="E74">
        <v>44097780</v>
      </c>
      <c r="F74">
        <v>1.5019</v>
      </c>
      <c r="G74">
        <v>10646887322.070221</v>
      </c>
      <c r="H74">
        <v>3.8823601440828505E-2</v>
      </c>
      <c r="I74">
        <v>-3.0048907592840153</v>
      </c>
    </row>
    <row r="75" spans="1:9" x14ac:dyDescent="0.3">
      <c r="A75" t="s">
        <v>168</v>
      </c>
      <c r="B75" t="s">
        <v>169</v>
      </c>
      <c r="C75">
        <v>105.74</v>
      </c>
      <c r="D75">
        <v>963514617</v>
      </c>
      <c r="E75">
        <v>0</v>
      </c>
      <c r="F75">
        <v>0</v>
      </c>
      <c r="G75">
        <v>9112111</v>
      </c>
      <c r="H75">
        <v>0</v>
      </c>
      <c r="I75">
        <v>-0.12279210352319792</v>
      </c>
    </row>
    <row r="76" spans="1:9" x14ac:dyDescent="0.3">
      <c r="A76" t="s">
        <v>166</v>
      </c>
      <c r="B76" t="s">
        <v>167</v>
      </c>
      <c r="C76">
        <v>0.10625999999999999</v>
      </c>
      <c r="D76">
        <v>959107924</v>
      </c>
      <c r="E76">
        <v>66101808</v>
      </c>
      <c r="F76">
        <v>0.46399000000000001</v>
      </c>
      <c r="G76">
        <v>9026562500</v>
      </c>
      <c r="H76">
        <v>-0.92173924283602915</v>
      </c>
      <c r="I76">
        <v>-8.896123708383346</v>
      </c>
    </row>
    <row r="77" spans="1:9" x14ac:dyDescent="0.3">
      <c r="A77" t="s">
        <v>170</v>
      </c>
      <c r="B77" t="s">
        <v>171</v>
      </c>
      <c r="C77">
        <v>3.4611650000000001E-2</v>
      </c>
      <c r="D77">
        <v>949184238</v>
      </c>
      <c r="E77">
        <v>11030254</v>
      </c>
      <c r="F77">
        <v>1.4296800000000001</v>
      </c>
      <c r="G77">
        <v>27416658504.52483</v>
      </c>
      <c r="H77">
        <v>-1.2834753987679129E-2</v>
      </c>
      <c r="I77">
        <v>-6.3114970334573002</v>
      </c>
    </row>
    <row r="78" spans="1:9" x14ac:dyDescent="0.3">
      <c r="A78" t="s">
        <v>172</v>
      </c>
      <c r="B78" t="s">
        <v>173</v>
      </c>
      <c r="C78">
        <v>0.26061099999999998</v>
      </c>
      <c r="D78">
        <v>887675558</v>
      </c>
      <c r="E78">
        <v>110048825</v>
      </c>
      <c r="F78">
        <v>8.4536599999999993</v>
      </c>
      <c r="G78">
        <v>3409949399.5384851</v>
      </c>
      <c r="H78">
        <v>-1.3984860526017806</v>
      </c>
      <c r="I78">
        <v>1.293213257277972</v>
      </c>
    </row>
    <row r="79" spans="1:9" x14ac:dyDescent="0.3">
      <c r="A79" t="s">
        <v>174</v>
      </c>
      <c r="B79" t="s">
        <v>175</v>
      </c>
      <c r="C79">
        <v>0.87499899999999997</v>
      </c>
      <c r="D79">
        <v>874989490</v>
      </c>
      <c r="E79">
        <v>6721641</v>
      </c>
      <c r="F79">
        <v>-1.7375499999999999</v>
      </c>
      <c r="G79">
        <v>1000000000</v>
      </c>
      <c r="H79">
        <v>-3.8154939888950794E-2</v>
      </c>
      <c r="I79">
        <v>-2.6357846277267436</v>
      </c>
    </row>
    <row r="80" spans="1:9" x14ac:dyDescent="0.3">
      <c r="A80" t="s">
        <v>176</v>
      </c>
      <c r="B80" t="s">
        <v>177</v>
      </c>
      <c r="C80">
        <v>3.4954939999999997E-2</v>
      </c>
      <c r="D80">
        <v>799607364</v>
      </c>
      <c r="E80">
        <v>15591964</v>
      </c>
      <c r="F80">
        <v>1.4436500000000001</v>
      </c>
      <c r="G80">
        <v>22870992455</v>
      </c>
      <c r="H80">
        <v>0.14167470231893425</v>
      </c>
      <c r="I80">
        <v>-11.232735821622622</v>
      </c>
    </row>
    <row r="81" spans="1:9" x14ac:dyDescent="0.3">
      <c r="A81" t="s">
        <v>178</v>
      </c>
      <c r="B81" t="s">
        <v>179</v>
      </c>
      <c r="C81">
        <v>9.2516000000000001E-2</v>
      </c>
      <c r="D81">
        <v>789993555</v>
      </c>
      <c r="E81">
        <v>34640427</v>
      </c>
      <c r="F81">
        <v>-0.55352999999999997</v>
      </c>
      <c r="G81">
        <v>8543764567.3127356</v>
      </c>
      <c r="H81">
        <v>0.27689853311011403</v>
      </c>
      <c r="I81">
        <v>4.4561859262116386</v>
      </c>
    </row>
    <row r="82" spans="1:9" x14ac:dyDescent="0.3">
      <c r="A82" t="s">
        <v>180</v>
      </c>
      <c r="B82" t="s">
        <v>181</v>
      </c>
      <c r="C82">
        <v>0.95929299999999995</v>
      </c>
      <c r="D82">
        <v>785803758</v>
      </c>
      <c r="E82">
        <v>48009124</v>
      </c>
      <c r="F82">
        <v>1.6013900000000001</v>
      </c>
      <c r="G82">
        <v>819317910.35773444</v>
      </c>
      <c r="H82">
        <v>-0.93372226689195204</v>
      </c>
      <c r="I82">
        <v>-7.019568455126433</v>
      </c>
    </row>
    <row r="83" spans="1:9" x14ac:dyDescent="0.3">
      <c r="A83" t="s">
        <v>182</v>
      </c>
      <c r="B83" t="s">
        <v>183</v>
      </c>
      <c r="C83">
        <v>16.89</v>
      </c>
      <c r="D83">
        <v>781616755</v>
      </c>
      <c r="E83">
        <v>108434656</v>
      </c>
      <c r="F83">
        <v>-2.3229099999999998</v>
      </c>
      <c r="G83">
        <v>46267307.575830609</v>
      </c>
      <c r="H83">
        <v>-5.6718009400309854E-2</v>
      </c>
      <c r="I83">
        <v>22.03687715400676</v>
      </c>
    </row>
    <row r="84" spans="1:9" x14ac:dyDescent="0.3">
      <c r="A84" t="s">
        <v>184</v>
      </c>
      <c r="B84" t="s">
        <v>185</v>
      </c>
      <c r="C84">
        <v>0.98548500000000006</v>
      </c>
      <c r="D84">
        <v>770554907</v>
      </c>
      <c r="E84">
        <v>67873335</v>
      </c>
      <c r="F84">
        <v>3.1208200000000001</v>
      </c>
      <c r="G84">
        <v>782029454</v>
      </c>
      <c r="H84">
        <v>-0.7649258471107746</v>
      </c>
      <c r="I84">
        <v>-5.4094864130691684</v>
      </c>
    </row>
    <row r="85" spans="1:9" x14ac:dyDescent="0.3">
      <c r="A85" t="s">
        <v>186</v>
      </c>
      <c r="B85" t="s">
        <v>187</v>
      </c>
      <c r="C85">
        <v>7.01</v>
      </c>
      <c r="D85">
        <v>745811006</v>
      </c>
      <c r="E85">
        <v>2262298</v>
      </c>
      <c r="F85">
        <v>0.16386999999999999</v>
      </c>
      <c r="G85">
        <v>106483509.17747104</v>
      </c>
      <c r="H85">
        <v>-0.93137384136615964</v>
      </c>
      <c r="I85">
        <v>-3.6393198685997072</v>
      </c>
    </row>
    <row r="86" spans="1:9" x14ac:dyDescent="0.3">
      <c r="A86" t="s">
        <v>188</v>
      </c>
      <c r="B86" t="s">
        <v>189</v>
      </c>
      <c r="C86">
        <v>8.4871300000000007E-3</v>
      </c>
      <c r="D86">
        <v>732225757</v>
      </c>
      <c r="E86">
        <v>2918587</v>
      </c>
      <c r="F86">
        <v>2.0306500000000001</v>
      </c>
      <c r="G86">
        <v>86257463059.199478</v>
      </c>
      <c r="H86">
        <v>-0.28081130095493589</v>
      </c>
      <c r="I86">
        <v>-2.1574832681693898</v>
      </c>
    </row>
    <row r="87" spans="1:9" x14ac:dyDescent="0.3">
      <c r="A87" t="s">
        <v>190</v>
      </c>
      <c r="B87" t="s">
        <v>191</v>
      </c>
      <c r="C87">
        <v>3.5748380000000003E-2</v>
      </c>
      <c r="D87">
        <v>714263811</v>
      </c>
      <c r="E87">
        <v>32745443</v>
      </c>
      <c r="F87">
        <v>0.22980999999999999</v>
      </c>
      <c r="G87">
        <v>19946688440</v>
      </c>
      <c r="H87">
        <v>-3.2478520796764006E-2</v>
      </c>
      <c r="I87">
        <v>8.2376586786797397</v>
      </c>
    </row>
    <row r="88" spans="1:9" x14ac:dyDescent="0.3">
      <c r="A88" t="s">
        <v>192</v>
      </c>
      <c r="B88" t="s">
        <v>193</v>
      </c>
      <c r="C88">
        <v>0.21218899999999999</v>
      </c>
      <c r="D88">
        <v>705339346</v>
      </c>
      <c r="E88">
        <v>38883116</v>
      </c>
      <c r="F88">
        <v>3.4136000000000002</v>
      </c>
      <c r="G88">
        <v>3320312968.0799999</v>
      </c>
      <c r="H88">
        <v>-1.3785026420975171</v>
      </c>
      <c r="I88">
        <v>-4.1658289097265229</v>
      </c>
    </row>
    <row r="89" spans="1:9" x14ac:dyDescent="0.3">
      <c r="A89" t="s">
        <v>194</v>
      </c>
      <c r="B89" t="s">
        <v>195</v>
      </c>
      <c r="C89">
        <v>0.11032599999999999</v>
      </c>
      <c r="D89">
        <v>690561431</v>
      </c>
      <c r="E89">
        <v>50658367</v>
      </c>
      <c r="F89">
        <v>-2.4925799999999998</v>
      </c>
      <c r="G89">
        <v>6255821492</v>
      </c>
      <c r="H89">
        <v>-1.1177254384630504</v>
      </c>
      <c r="I89">
        <v>-15.228825902003171</v>
      </c>
    </row>
    <row r="90" spans="1:9" x14ac:dyDescent="0.3">
      <c r="A90" t="s">
        <v>196</v>
      </c>
      <c r="B90" t="s">
        <v>197</v>
      </c>
      <c r="C90">
        <v>1.7726700000000001E-3</v>
      </c>
      <c r="D90">
        <v>628297399</v>
      </c>
      <c r="E90">
        <v>47532224</v>
      </c>
      <c r="F90">
        <v>3.70689</v>
      </c>
      <c r="G90">
        <v>354503454572.23492</v>
      </c>
      <c r="H90">
        <v>-0.75974920005497459</v>
      </c>
      <c r="I90">
        <v>-4.2158166934426378</v>
      </c>
    </row>
    <row r="91" spans="1:9" x14ac:dyDescent="0.3">
      <c r="A91" t="s">
        <v>198</v>
      </c>
      <c r="B91" t="s">
        <v>199</v>
      </c>
      <c r="C91">
        <v>13.39</v>
      </c>
      <c r="D91">
        <v>626921415</v>
      </c>
      <c r="E91">
        <v>10672926</v>
      </c>
      <c r="F91">
        <v>-4.5962100000000001</v>
      </c>
      <c r="G91">
        <v>46750552.583840348</v>
      </c>
      <c r="H91">
        <v>-1.4819695960968398</v>
      </c>
      <c r="I91">
        <v>9.1321532709053184</v>
      </c>
    </row>
    <row r="92" spans="1:9" x14ac:dyDescent="0.3">
      <c r="A92" t="s">
        <v>200</v>
      </c>
      <c r="B92" t="s">
        <v>201</v>
      </c>
      <c r="C92">
        <v>48.18</v>
      </c>
      <c r="D92">
        <v>611780199</v>
      </c>
      <c r="E92">
        <v>251426107</v>
      </c>
      <c r="F92">
        <v>3.3366099999999999</v>
      </c>
      <c r="G92">
        <v>12700590.883829391</v>
      </c>
      <c r="H92">
        <v>0.37147373851804905</v>
      </c>
      <c r="I92">
        <v>9.2307544775422112</v>
      </c>
    </row>
    <row r="93" spans="1:9" x14ac:dyDescent="0.3">
      <c r="A93" t="s">
        <v>202</v>
      </c>
      <c r="B93" t="s">
        <v>203</v>
      </c>
      <c r="C93">
        <v>7.8797000000000006E-2</v>
      </c>
      <c r="D93">
        <v>609790101</v>
      </c>
      <c r="E93">
        <v>11772521</v>
      </c>
      <c r="F93">
        <v>-4.3470000000000002E-2</v>
      </c>
      <c r="G93">
        <v>7738210159.5190372</v>
      </c>
      <c r="H93">
        <v>-0.1827800413121955</v>
      </c>
      <c r="I93">
        <v>-0.14256689116433208</v>
      </c>
    </row>
    <row r="94" spans="1:9" x14ac:dyDescent="0.3">
      <c r="A94" t="s">
        <v>204</v>
      </c>
      <c r="B94" t="s">
        <v>205</v>
      </c>
      <c r="C94">
        <v>9.3138400000000003E-3</v>
      </c>
      <c r="D94">
        <v>585593972</v>
      </c>
      <c r="E94">
        <v>138903200</v>
      </c>
      <c r="F94">
        <v>5.4921699999999998</v>
      </c>
      <c r="G94">
        <v>62860396090</v>
      </c>
      <c r="H94">
        <v>0.10685062857596712</v>
      </c>
      <c r="I94">
        <v>3.7381059626018862</v>
      </c>
    </row>
    <row r="95" spans="1:9" x14ac:dyDescent="0.3">
      <c r="A95" t="s">
        <v>206</v>
      </c>
      <c r="B95" t="s">
        <v>207</v>
      </c>
      <c r="C95">
        <v>0.99903600000000004</v>
      </c>
      <c r="D95">
        <v>583421585</v>
      </c>
      <c r="E95">
        <v>3117919</v>
      </c>
      <c r="F95">
        <v>9.6799999999999994E-3</v>
      </c>
      <c r="G95">
        <v>584000000</v>
      </c>
      <c r="H95">
        <v>1.0227157700040065E-2</v>
      </c>
      <c r="I95">
        <v>-2.7486512004468867E-2</v>
      </c>
    </row>
    <row r="96" spans="1:9" x14ac:dyDescent="0.3">
      <c r="A96" t="s">
        <v>208</v>
      </c>
      <c r="B96" t="s">
        <v>209</v>
      </c>
      <c r="C96">
        <v>6.5942500000000003E-3</v>
      </c>
      <c r="D96">
        <v>566928477</v>
      </c>
      <c r="E96">
        <v>11495143</v>
      </c>
      <c r="F96">
        <v>0.25842999999999999</v>
      </c>
      <c r="G96">
        <v>85985041177</v>
      </c>
      <c r="H96">
        <v>-0.43788924434869664</v>
      </c>
      <c r="I96">
        <v>-8.8862103991739332</v>
      </c>
    </row>
    <row r="97" spans="1:9" x14ac:dyDescent="0.3">
      <c r="A97" t="s">
        <v>210</v>
      </c>
      <c r="B97" t="s">
        <v>211</v>
      </c>
      <c r="C97">
        <v>115.31</v>
      </c>
      <c r="D97">
        <v>555161212</v>
      </c>
      <c r="E97">
        <v>0</v>
      </c>
      <c r="F97">
        <v>9.1900000000000003E-3</v>
      </c>
      <c r="G97">
        <v>4814710.1425328404</v>
      </c>
      <c r="H97">
        <v>0</v>
      </c>
      <c r="I97">
        <v>6.6172595311753374E-2</v>
      </c>
    </row>
    <row r="98" spans="1:9" x14ac:dyDescent="0.3">
      <c r="A98" t="s">
        <v>212</v>
      </c>
      <c r="B98" t="s">
        <v>213</v>
      </c>
      <c r="C98">
        <v>0.99855000000000005</v>
      </c>
      <c r="D98">
        <v>554746416</v>
      </c>
      <c r="E98">
        <v>1228302</v>
      </c>
      <c r="F98">
        <v>5.0619999999999998E-2</v>
      </c>
      <c r="G98">
        <v>555552300.31639993</v>
      </c>
      <c r="H98">
        <v>4.4487532887839989E-4</v>
      </c>
      <c r="I98">
        <v>5.8494212316431975E-2</v>
      </c>
    </row>
    <row r="99" spans="1:9" x14ac:dyDescent="0.3">
      <c r="A99" t="s">
        <v>214</v>
      </c>
      <c r="B99" t="s">
        <v>215</v>
      </c>
      <c r="C99">
        <v>6.1600000000000003E-6</v>
      </c>
      <c r="D99">
        <v>542162583</v>
      </c>
      <c r="E99">
        <v>34969387</v>
      </c>
      <c r="F99">
        <v>2.5339999999999998</v>
      </c>
      <c r="G99">
        <v>87994732460591.313</v>
      </c>
      <c r="H99">
        <v>-0.53513109172105677</v>
      </c>
      <c r="I99">
        <v>-9.2711236175321154</v>
      </c>
    </row>
    <row r="100" spans="1:9" x14ac:dyDescent="0.3">
      <c r="A100" t="s">
        <v>216</v>
      </c>
      <c r="B100" t="s">
        <v>217</v>
      </c>
      <c r="C100">
        <v>0.236182</v>
      </c>
      <c r="D100">
        <v>536559178</v>
      </c>
      <c r="E100">
        <v>30694234</v>
      </c>
      <c r="F100">
        <v>2.7501799999999998</v>
      </c>
      <c r="G100">
        <v>2273255814</v>
      </c>
      <c r="H100">
        <v>-0.29263925232682847</v>
      </c>
      <c r="I100">
        <v>5.8203748195879621</v>
      </c>
    </row>
    <row r="101" spans="1:9" x14ac:dyDescent="0.3">
      <c r="A101" t="s">
        <v>218</v>
      </c>
      <c r="B101" t="s">
        <v>219</v>
      </c>
      <c r="C101">
        <v>1.004557E-2</v>
      </c>
      <c r="D101">
        <v>535073172</v>
      </c>
      <c r="E101">
        <v>11898.39</v>
      </c>
      <c r="F101">
        <v>-4.2564500000000001</v>
      </c>
      <c r="G101">
        <v>53241942609</v>
      </c>
      <c r="H101">
        <v>-6.1557530964273965</v>
      </c>
      <c r="I101">
        <v>-4.5766535204846894</v>
      </c>
    </row>
    <row r="102" spans="1:9" x14ac:dyDescent="0.3">
      <c r="A102" t="s">
        <v>220</v>
      </c>
      <c r="B102" t="s">
        <v>221</v>
      </c>
      <c r="C102">
        <v>1.299224E-2</v>
      </c>
      <c r="D102">
        <v>509421258</v>
      </c>
      <c r="E102">
        <v>78284</v>
      </c>
      <c r="F102">
        <v>4.8166700000000002</v>
      </c>
      <c r="G102">
        <v>39209890572.960739</v>
      </c>
      <c r="H102">
        <v>0.74374329820953344</v>
      </c>
      <c r="I102">
        <v>0.75623263296258847</v>
      </c>
    </row>
    <row r="103" spans="1:9" x14ac:dyDescent="0.3">
      <c r="A103" t="s">
        <v>222</v>
      </c>
      <c r="B103" t="s">
        <v>223</v>
      </c>
      <c r="C103">
        <v>0.99986399999999998</v>
      </c>
      <c r="D103">
        <v>504635570</v>
      </c>
      <c r="E103">
        <v>2026087</v>
      </c>
      <c r="F103">
        <v>1.2239999999999999E-2</v>
      </c>
      <c r="G103">
        <v>504704181.41000003</v>
      </c>
      <c r="H103">
        <v>5.8097547618077491E-3</v>
      </c>
      <c r="I103">
        <v>1.4835584255099897E-2</v>
      </c>
    </row>
    <row r="104" spans="1:9" x14ac:dyDescent="0.3">
      <c r="A104" t="s">
        <v>224</v>
      </c>
      <c r="B104" t="s">
        <v>225</v>
      </c>
      <c r="C104">
        <v>3.027649E-2</v>
      </c>
      <c r="D104">
        <v>500335866</v>
      </c>
      <c r="E104">
        <v>68767187</v>
      </c>
      <c r="F104">
        <v>-1.4766300000000001</v>
      </c>
      <c r="G104">
        <v>16607399400.634951</v>
      </c>
      <c r="H104">
        <v>0.53323550554772248</v>
      </c>
      <c r="I104">
        <v>-6.7427124026041891</v>
      </c>
    </row>
    <row r="105" spans="1:9" x14ac:dyDescent="0.3">
      <c r="A105" t="s">
        <v>228</v>
      </c>
      <c r="B105" t="s">
        <v>229</v>
      </c>
      <c r="C105">
        <v>0.99854200000000004</v>
      </c>
      <c r="D105">
        <v>493826340</v>
      </c>
      <c r="E105">
        <v>9117214</v>
      </c>
      <c r="F105">
        <v>-4.6580000000000003E-2</v>
      </c>
      <c r="G105">
        <v>494515083</v>
      </c>
      <c r="H105">
        <v>-8.5989128240925403E-2</v>
      </c>
      <c r="I105">
        <v>-0.10563502589927184</v>
      </c>
    </row>
    <row r="106" spans="1:9" x14ac:dyDescent="0.3">
      <c r="A106" t="s">
        <v>226</v>
      </c>
      <c r="B106" t="s">
        <v>227</v>
      </c>
      <c r="C106">
        <v>4.93</v>
      </c>
      <c r="D106">
        <v>493155119</v>
      </c>
      <c r="E106">
        <v>100075977</v>
      </c>
      <c r="F106">
        <v>-0.23676</v>
      </c>
      <c r="G106">
        <v>100000000</v>
      </c>
      <c r="H106">
        <v>-0.94066156139839119</v>
      </c>
      <c r="I106">
        <v>-1.8249166526109768</v>
      </c>
    </row>
    <row r="107" spans="1:9" x14ac:dyDescent="0.3">
      <c r="A107" t="s">
        <v>230</v>
      </c>
      <c r="B107" t="s">
        <v>231</v>
      </c>
      <c r="C107">
        <v>0.99967799999999996</v>
      </c>
      <c r="D107">
        <v>491551696</v>
      </c>
      <c r="E107">
        <v>6534951</v>
      </c>
      <c r="F107">
        <v>7.9900000000000006E-3</v>
      </c>
      <c r="G107">
        <v>491720349.27916372</v>
      </c>
      <c r="H107">
        <v>3.1267460640867009E-3</v>
      </c>
      <c r="I107">
        <v>-1.3009006591644962E-2</v>
      </c>
    </row>
    <row r="108" spans="1:9" x14ac:dyDescent="0.3">
      <c r="A108" t="s">
        <v>234</v>
      </c>
      <c r="B108" t="s">
        <v>235</v>
      </c>
      <c r="C108">
        <v>1.38</v>
      </c>
      <c r="D108">
        <v>484016676</v>
      </c>
      <c r="E108">
        <v>9308078</v>
      </c>
      <c r="F108">
        <v>0.50178</v>
      </c>
      <c r="G108">
        <v>350000000</v>
      </c>
      <c r="H108">
        <v>0.85723729515254488</v>
      </c>
      <c r="I108">
        <v>1.396854929538426</v>
      </c>
    </row>
    <row r="109" spans="1:9" x14ac:dyDescent="0.3">
      <c r="A109" t="s">
        <v>232</v>
      </c>
      <c r="B109" t="s">
        <v>233</v>
      </c>
      <c r="C109">
        <v>2.04</v>
      </c>
      <c r="D109">
        <v>483210114</v>
      </c>
      <c r="E109">
        <v>59723454</v>
      </c>
      <c r="F109">
        <v>-0.16904</v>
      </c>
      <c r="G109">
        <v>237414040.342428</v>
      </c>
      <c r="H109">
        <v>-0.80213476534117634</v>
      </c>
      <c r="I109">
        <v>-13.813769668634448</v>
      </c>
    </row>
    <row r="110" spans="1:9" x14ac:dyDescent="0.3">
      <c r="A110" t="s">
        <v>236</v>
      </c>
      <c r="B110" t="s">
        <v>237</v>
      </c>
      <c r="C110">
        <v>0.73280100000000004</v>
      </c>
      <c r="D110">
        <v>481511519</v>
      </c>
      <c r="E110">
        <v>51906066</v>
      </c>
      <c r="F110">
        <v>1.76427</v>
      </c>
      <c r="G110">
        <v>656986027.21708381</v>
      </c>
      <c r="H110">
        <v>-0.91518623852076797</v>
      </c>
      <c r="I110">
        <v>-4.6572740844001377</v>
      </c>
    </row>
    <row r="111" spans="1:9" x14ac:dyDescent="0.3">
      <c r="A111" t="s">
        <v>238</v>
      </c>
      <c r="B111" t="s">
        <v>239</v>
      </c>
      <c r="C111">
        <v>1.45</v>
      </c>
      <c r="D111">
        <v>473253637</v>
      </c>
      <c r="E111">
        <v>26951217</v>
      </c>
      <c r="F111">
        <v>2.7536999999999998</v>
      </c>
      <c r="G111">
        <v>325805256.9312923</v>
      </c>
      <c r="H111">
        <v>4.1447496129224208E-2</v>
      </c>
      <c r="I111">
        <v>-4.5586737825745454</v>
      </c>
    </row>
    <row r="112" spans="1:9" x14ac:dyDescent="0.3">
      <c r="A112" t="s">
        <v>240</v>
      </c>
      <c r="B112" t="s">
        <v>241</v>
      </c>
      <c r="C112">
        <v>0.248942</v>
      </c>
      <c r="D112">
        <v>454150391</v>
      </c>
      <c r="E112">
        <v>229213280</v>
      </c>
      <c r="F112">
        <v>2.8649</v>
      </c>
      <c r="G112">
        <v>1825000000</v>
      </c>
      <c r="H112">
        <v>-2.0648232511594364</v>
      </c>
      <c r="I112">
        <v>-2.3655724660467539</v>
      </c>
    </row>
    <row r="113" spans="1:9" x14ac:dyDescent="0.3">
      <c r="A113" t="s">
        <v>242</v>
      </c>
      <c r="B113" t="s">
        <v>243</v>
      </c>
      <c r="C113">
        <v>0.24349899999999999</v>
      </c>
      <c r="D113">
        <v>450568187</v>
      </c>
      <c r="E113">
        <v>7230788</v>
      </c>
      <c r="F113">
        <v>2.0144600000000001</v>
      </c>
      <c r="G113">
        <v>1845898459.4012599</v>
      </c>
      <c r="H113">
        <v>-0.38965096199466137</v>
      </c>
      <c r="I113">
        <v>-9.2811525963922445</v>
      </c>
    </row>
    <row r="114" spans="1:9" x14ac:dyDescent="0.3">
      <c r="A114" t="s">
        <v>244</v>
      </c>
      <c r="B114" t="s">
        <v>245</v>
      </c>
      <c r="C114">
        <v>4.3249959999999997E-2</v>
      </c>
      <c r="D114">
        <v>448688448</v>
      </c>
      <c r="E114">
        <v>84052258</v>
      </c>
      <c r="F114">
        <v>-7.3443399999999999</v>
      </c>
      <c r="G114">
        <v>10372142749</v>
      </c>
      <c r="H114">
        <v>-1.1358438426370945</v>
      </c>
      <c r="I114">
        <v>1.7245388111977915</v>
      </c>
    </row>
    <row r="115" spans="1:9" x14ac:dyDescent="0.3">
      <c r="A115" t="s">
        <v>248</v>
      </c>
      <c r="B115" t="s">
        <v>249</v>
      </c>
      <c r="C115">
        <v>0.43762800000000002</v>
      </c>
      <c r="D115">
        <v>437904814</v>
      </c>
      <c r="E115">
        <v>15983599</v>
      </c>
      <c r="F115">
        <v>-0.85145000000000004</v>
      </c>
      <c r="G115">
        <v>1000000000</v>
      </c>
      <c r="H115">
        <v>0.41786221904224868</v>
      </c>
      <c r="I115">
        <v>13.129260580405759</v>
      </c>
    </row>
    <row r="116" spans="1:9" x14ac:dyDescent="0.3">
      <c r="A116" t="s">
        <v>246</v>
      </c>
      <c r="B116" t="s">
        <v>247</v>
      </c>
      <c r="C116">
        <v>0.19362299999999999</v>
      </c>
      <c r="D116">
        <v>437557298</v>
      </c>
      <c r="E116">
        <v>47546131</v>
      </c>
      <c r="F116">
        <v>1.5843400000000001</v>
      </c>
      <c r="G116">
        <v>2258865649.6699901</v>
      </c>
      <c r="H116">
        <v>-1.2785764690005983</v>
      </c>
      <c r="I116">
        <v>-8.2902450202843294</v>
      </c>
    </row>
    <row r="117" spans="1:9" x14ac:dyDescent="0.3">
      <c r="A117" t="s">
        <v>250</v>
      </c>
      <c r="B117" t="s">
        <v>251</v>
      </c>
      <c r="C117">
        <v>1.1599999999999999</v>
      </c>
      <c r="D117">
        <v>433989659</v>
      </c>
      <c r="E117">
        <v>36447491</v>
      </c>
      <c r="F117">
        <v>0.30115999999999998</v>
      </c>
      <c r="G117">
        <v>373181744.18950713</v>
      </c>
      <c r="H117">
        <v>2.3664700818693984E-2</v>
      </c>
      <c r="I117">
        <v>-0.69619386757828416</v>
      </c>
    </row>
    <row r="118" spans="1:9" x14ac:dyDescent="0.3">
      <c r="A118" t="s">
        <v>252</v>
      </c>
      <c r="B118" t="s">
        <v>253</v>
      </c>
      <c r="C118">
        <v>1.0349999999999999</v>
      </c>
      <c r="D118">
        <v>429767674</v>
      </c>
      <c r="E118">
        <v>0</v>
      </c>
      <c r="F118">
        <v>7.92E-3</v>
      </c>
      <c r="G118">
        <v>415205583.586546</v>
      </c>
      <c r="H118">
        <v>0</v>
      </c>
      <c r="I118">
        <v>6.4771723179184532E-2</v>
      </c>
    </row>
    <row r="119" spans="1:9" x14ac:dyDescent="0.3">
      <c r="A119" t="s">
        <v>254</v>
      </c>
      <c r="B119" t="s">
        <v>255</v>
      </c>
      <c r="C119">
        <v>7.6660000000000001E-5</v>
      </c>
      <c r="D119">
        <v>424658922</v>
      </c>
      <c r="E119">
        <v>27081895</v>
      </c>
      <c r="F119">
        <v>-0.44874999999999998</v>
      </c>
      <c r="G119">
        <v>5541784362846.4395</v>
      </c>
      <c r="H119">
        <v>-0.47084749742235543</v>
      </c>
      <c r="I119">
        <v>-6.4015324491412908</v>
      </c>
    </row>
    <row r="120" spans="1:9" x14ac:dyDescent="0.3">
      <c r="A120" t="s">
        <v>256</v>
      </c>
      <c r="B120" t="s">
        <v>257</v>
      </c>
      <c r="C120">
        <v>1.17</v>
      </c>
      <c r="D120">
        <v>423338746</v>
      </c>
      <c r="E120">
        <v>0</v>
      </c>
      <c r="F120">
        <v>0.35361999999999999</v>
      </c>
      <c r="G120">
        <v>362314056.11365998</v>
      </c>
      <c r="H120">
        <v>5.9546031291912063E-2</v>
      </c>
      <c r="I120">
        <v>-0.67442482501248802</v>
      </c>
    </row>
    <row r="121" spans="1:9" x14ac:dyDescent="0.3">
      <c r="A121" t="s">
        <v>258</v>
      </c>
      <c r="B121" t="s">
        <v>259</v>
      </c>
      <c r="C121">
        <v>6.2087999999999997E-2</v>
      </c>
      <c r="D121">
        <v>418018926</v>
      </c>
      <c r="E121">
        <v>29203894</v>
      </c>
      <c r="F121">
        <v>2.1103700000000001</v>
      </c>
      <c r="G121">
        <v>6733333333</v>
      </c>
      <c r="H121">
        <v>-0.56684600329461188</v>
      </c>
      <c r="I121">
        <v>-6.3570964510338115</v>
      </c>
    </row>
    <row r="122" spans="1:9" x14ac:dyDescent="0.3">
      <c r="A122" t="s">
        <v>260</v>
      </c>
      <c r="B122" t="s">
        <v>261</v>
      </c>
      <c r="C122">
        <v>3.88</v>
      </c>
      <c r="D122">
        <v>404429250</v>
      </c>
      <c r="E122">
        <v>1889176</v>
      </c>
      <c r="F122">
        <v>0.31663000000000002</v>
      </c>
      <c r="G122">
        <v>104035514.216296</v>
      </c>
      <c r="H122">
        <v>4.6932999382679169E-2</v>
      </c>
      <c r="I122">
        <v>-3.5257451525254302</v>
      </c>
    </row>
    <row r="123" spans="1:9" x14ac:dyDescent="0.3">
      <c r="A123" t="s">
        <v>262</v>
      </c>
      <c r="B123" t="s">
        <v>263</v>
      </c>
      <c r="C123">
        <v>0.99956999999999996</v>
      </c>
      <c r="D123">
        <v>403596301</v>
      </c>
      <c r="E123">
        <v>311449</v>
      </c>
      <c r="F123">
        <v>1.243E-2</v>
      </c>
      <c r="G123">
        <v>403769806.46639901</v>
      </c>
      <c r="H123">
        <v>-2.2825705710728492E-2</v>
      </c>
      <c r="I123">
        <v>-2.1964573362665721E-2</v>
      </c>
    </row>
    <row r="124" spans="1:9" x14ac:dyDescent="0.3">
      <c r="A124" t="s">
        <v>264</v>
      </c>
      <c r="B124" t="s">
        <v>265</v>
      </c>
      <c r="C124">
        <v>0.42183399999999999</v>
      </c>
      <c r="D124">
        <v>397874983</v>
      </c>
      <c r="E124">
        <v>17468330</v>
      </c>
      <c r="F124">
        <v>2.6947700000000001</v>
      </c>
      <c r="G124">
        <v>941492288.46712077</v>
      </c>
      <c r="H124">
        <v>-0.15854028913523016</v>
      </c>
      <c r="I124">
        <v>-8.5827582618479568</v>
      </c>
    </row>
    <row r="125" spans="1:9" x14ac:dyDescent="0.3">
      <c r="A125" t="s">
        <v>266</v>
      </c>
      <c r="B125" t="s">
        <v>267</v>
      </c>
      <c r="C125">
        <v>2.0131980000000001E-2</v>
      </c>
      <c r="D125">
        <v>387067307</v>
      </c>
      <c r="E125">
        <v>56322029</v>
      </c>
      <c r="F125">
        <v>1.97557</v>
      </c>
      <c r="G125">
        <v>19225457928.14254</v>
      </c>
      <c r="H125">
        <v>9.6325534298319124E-2</v>
      </c>
      <c r="I125">
        <v>0.52114467459328628</v>
      </c>
    </row>
    <row r="126" spans="1:9" x14ac:dyDescent="0.3">
      <c r="A126" t="s">
        <v>268</v>
      </c>
      <c r="B126" t="s">
        <v>269</v>
      </c>
      <c r="C126">
        <v>0.11056000000000001</v>
      </c>
      <c r="D126">
        <v>383625865</v>
      </c>
      <c r="E126">
        <v>29664923</v>
      </c>
      <c r="F126">
        <v>18.121580000000002</v>
      </c>
      <c r="G126">
        <v>3469835660.1999998</v>
      </c>
      <c r="H126">
        <v>-1.1516376048372927</v>
      </c>
      <c r="I126">
        <v>5.5910979670554442</v>
      </c>
    </row>
    <row r="127" spans="1:9" x14ac:dyDescent="0.3">
      <c r="A127" t="s">
        <v>270</v>
      </c>
      <c r="B127" t="s">
        <v>271</v>
      </c>
      <c r="C127">
        <v>0.34807300000000002</v>
      </c>
      <c r="D127">
        <v>377793307</v>
      </c>
      <c r="E127">
        <v>11507726</v>
      </c>
      <c r="F127">
        <v>3.20601</v>
      </c>
      <c r="G127">
        <v>1085378408.734417</v>
      </c>
      <c r="H127">
        <v>-5.5739572009547003E-2</v>
      </c>
      <c r="I127">
        <v>-7.5705610687768541</v>
      </c>
    </row>
    <row r="128" spans="1:9" x14ac:dyDescent="0.3">
      <c r="A128" t="s">
        <v>272</v>
      </c>
      <c r="B128" t="s">
        <v>273</v>
      </c>
      <c r="C128">
        <v>0.99834400000000001</v>
      </c>
      <c r="D128">
        <v>376487205</v>
      </c>
      <c r="E128">
        <v>25283227</v>
      </c>
      <c r="F128">
        <v>6.3159999999999994E-2</v>
      </c>
      <c r="G128">
        <v>377148541.66021597</v>
      </c>
      <c r="H128">
        <v>3.1897769888207458E-2</v>
      </c>
      <c r="I128">
        <v>4.5456217658799786E-2</v>
      </c>
    </row>
    <row r="129" spans="1:9" x14ac:dyDescent="0.3">
      <c r="A129" t="s">
        <v>274</v>
      </c>
      <c r="B129" t="s">
        <v>275</v>
      </c>
      <c r="C129">
        <v>0.51069799999999999</v>
      </c>
      <c r="D129">
        <v>371173567</v>
      </c>
      <c r="E129">
        <v>8110258</v>
      </c>
      <c r="F129">
        <v>-5.1326999999999998</v>
      </c>
      <c r="G129">
        <v>726788283.04661047</v>
      </c>
      <c r="H129">
        <v>-0.83747680478302855</v>
      </c>
      <c r="I129">
        <v>-8.5946928314079685</v>
      </c>
    </row>
    <row r="130" spans="1:9" x14ac:dyDescent="0.3">
      <c r="A130" t="s">
        <v>276</v>
      </c>
      <c r="B130" t="s">
        <v>277</v>
      </c>
      <c r="C130">
        <v>0.402478</v>
      </c>
      <c r="D130">
        <v>369700951</v>
      </c>
      <c r="E130">
        <v>36621677</v>
      </c>
      <c r="F130">
        <v>0.38993</v>
      </c>
      <c r="G130">
        <v>919932996.62250996</v>
      </c>
      <c r="H130">
        <v>-1.0742652871668881</v>
      </c>
      <c r="I130">
        <v>-10.773765529098862</v>
      </c>
    </row>
    <row r="131" spans="1:9" x14ac:dyDescent="0.3">
      <c r="A131" t="s">
        <v>278</v>
      </c>
      <c r="B131" t="s">
        <v>279</v>
      </c>
      <c r="C131">
        <v>6.0499999999999997E-6</v>
      </c>
      <c r="D131">
        <v>363183377</v>
      </c>
      <c r="E131">
        <v>98025282</v>
      </c>
      <c r="F131">
        <v>44.260750000000002</v>
      </c>
      <c r="G131">
        <v>60000000000000</v>
      </c>
      <c r="H131">
        <v>-4.7070535088897936</v>
      </c>
    </row>
    <row r="132" spans="1:9" x14ac:dyDescent="0.3">
      <c r="A132" t="s">
        <v>280</v>
      </c>
      <c r="B132" t="s">
        <v>281</v>
      </c>
      <c r="C132">
        <v>0.38855800000000001</v>
      </c>
      <c r="D132">
        <v>362010516</v>
      </c>
      <c r="E132">
        <v>6685043</v>
      </c>
      <c r="F132">
        <v>4.0667900000000001</v>
      </c>
      <c r="G132">
        <v>930993080.88700116</v>
      </c>
      <c r="H132">
        <v>-2.3028339129458826</v>
      </c>
      <c r="I132">
        <v>-6.3669849144861486</v>
      </c>
    </row>
    <row r="133" spans="1:9" x14ac:dyDescent="0.3">
      <c r="A133" t="s">
        <v>282</v>
      </c>
      <c r="B133" t="s">
        <v>283</v>
      </c>
      <c r="C133">
        <v>0.23450799999999999</v>
      </c>
      <c r="D133">
        <v>355648287</v>
      </c>
      <c r="E133">
        <v>30509859</v>
      </c>
      <c r="F133">
        <v>-1.0245599999999999</v>
      </c>
      <c r="G133">
        <v>1516426423</v>
      </c>
      <c r="H133">
        <v>-0.81519762586690392</v>
      </c>
      <c r="I133">
        <v>-11.845152085276656</v>
      </c>
    </row>
    <row r="134" spans="1:9" x14ac:dyDescent="0.3">
      <c r="A134" t="s">
        <v>284</v>
      </c>
      <c r="B134" t="s">
        <v>285</v>
      </c>
      <c r="C134">
        <v>1.42</v>
      </c>
      <c r="D134">
        <v>354628761</v>
      </c>
      <c r="E134">
        <v>92731094</v>
      </c>
      <c r="F134">
        <v>18.801600000000001</v>
      </c>
      <c r="G134">
        <v>250000000</v>
      </c>
      <c r="H134">
        <v>3.0246675251777844</v>
      </c>
      <c r="I134">
        <v>59.317000667836965</v>
      </c>
    </row>
    <row r="135" spans="1:9" x14ac:dyDescent="0.3">
      <c r="A135" t="s">
        <v>286</v>
      </c>
      <c r="B135" t="s">
        <v>287</v>
      </c>
      <c r="C135">
        <v>1.38</v>
      </c>
      <c r="D135">
        <v>348203049</v>
      </c>
      <c r="E135">
        <v>21126160</v>
      </c>
      <c r="F135">
        <v>2.7849499999999998</v>
      </c>
      <c r="G135">
        <v>252331652.65365621</v>
      </c>
      <c r="H135">
        <v>-0.28837439042785062</v>
      </c>
      <c r="I135">
        <v>-1.6269764424295274</v>
      </c>
    </row>
    <row r="136" spans="1:9" x14ac:dyDescent="0.3">
      <c r="A136" t="s">
        <v>288</v>
      </c>
      <c r="B136" t="s">
        <v>289</v>
      </c>
      <c r="C136">
        <v>144.13</v>
      </c>
      <c r="D136">
        <v>343922014</v>
      </c>
      <c r="E136">
        <v>68793</v>
      </c>
      <c r="F136">
        <v>0.59263999999999994</v>
      </c>
      <c r="G136">
        <v>2386227.8341999999</v>
      </c>
      <c r="H136">
        <v>-2.8582104671558547E-3</v>
      </c>
      <c r="I136">
        <v>-5.1785984029551404</v>
      </c>
    </row>
    <row r="137" spans="1:9" x14ac:dyDescent="0.3">
      <c r="A137" t="s">
        <v>290</v>
      </c>
      <c r="B137" t="s">
        <v>291</v>
      </c>
      <c r="C137">
        <v>0.34193800000000002</v>
      </c>
      <c r="D137">
        <v>341261678</v>
      </c>
      <c r="E137">
        <v>45081599</v>
      </c>
      <c r="F137">
        <v>6.5104600000000001</v>
      </c>
      <c r="G137">
        <v>998384107.78570163</v>
      </c>
      <c r="H137">
        <v>-0.58887890381040819</v>
      </c>
      <c r="I137">
        <v>-8.7695096850001288</v>
      </c>
    </row>
    <row r="138" spans="1:9" x14ac:dyDescent="0.3">
      <c r="A138" t="s">
        <v>292</v>
      </c>
      <c r="B138" t="s">
        <v>293</v>
      </c>
      <c r="C138">
        <v>0.38308399999999998</v>
      </c>
      <c r="D138">
        <v>337111194</v>
      </c>
      <c r="E138">
        <v>21651197</v>
      </c>
      <c r="F138">
        <v>1.26953</v>
      </c>
      <c r="G138">
        <v>880665741</v>
      </c>
      <c r="H138">
        <v>-0.57606204052743182</v>
      </c>
      <c r="I138">
        <v>-14.212334579290792</v>
      </c>
    </row>
    <row r="139" spans="1:9" x14ac:dyDescent="0.3">
      <c r="A139" t="s">
        <v>294</v>
      </c>
      <c r="B139" t="s">
        <v>295</v>
      </c>
      <c r="C139">
        <v>4.3899999999999997</v>
      </c>
      <c r="D139">
        <v>334985849</v>
      </c>
      <c r="E139">
        <v>48256316</v>
      </c>
      <c r="F139">
        <v>6.68072</v>
      </c>
      <c r="G139">
        <v>76546099.142000005</v>
      </c>
      <c r="H139">
        <v>-2.8118704607825489E-2</v>
      </c>
      <c r="I139">
        <v>-19.852966232672596</v>
      </c>
    </row>
    <row r="140" spans="1:9" x14ac:dyDescent="0.3">
      <c r="A140" t="s">
        <v>296</v>
      </c>
      <c r="B140" t="s">
        <v>297</v>
      </c>
      <c r="C140">
        <v>0.99989499999999998</v>
      </c>
      <c r="D140">
        <v>333547838</v>
      </c>
      <c r="E140">
        <v>7257522</v>
      </c>
      <c r="F140">
        <v>3.98E-3</v>
      </c>
      <c r="G140">
        <v>333556964.94</v>
      </c>
      <c r="H140">
        <v>1.4221386783271795E-2</v>
      </c>
      <c r="I140">
        <v>1.7999601673864142E-2</v>
      </c>
    </row>
    <row r="141" spans="1:9" x14ac:dyDescent="0.3">
      <c r="A141" t="s">
        <v>298</v>
      </c>
      <c r="B141" t="s">
        <v>299</v>
      </c>
      <c r="C141">
        <v>4.1979330000000002E-2</v>
      </c>
      <c r="D141">
        <v>330016214</v>
      </c>
      <c r="E141">
        <v>19421336</v>
      </c>
      <c r="F141">
        <v>3.4300099999999998</v>
      </c>
      <c r="G141">
        <v>7874982037.9407101</v>
      </c>
      <c r="H141">
        <v>-0.21228335426243777</v>
      </c>
      <c r="I141">
        <v>-16.762223293820089</v>
      </c>
    </row>
    <row r="142" spans="1:9" x14ac:dyDescent="0.3">
      <c r="A142" t="s">
        <v>302</v>
      </c>
      <c r="B142" t="s">
        <v>303</v>
      </c>
      <c r="C142">
        <v>3.9454759999999998E-2</v>
      </c>
      <c r="D142">
        <v>323623916</v>
      </c>
      <c r="E142">
        <v>5586506</v>
      </c>
      <c r="F142">
        <v>-0.53420000000000001</v>
      </c>
      <c r="G142">
        <v>8199996134.3176603</v>
      </c>
      <c r="H142">
        <v>-2.2418454740153838E-2</v>
      </c>
      <c r="I142">
        <v>50.638513123721992</v>
      </c>
    </row>
    <row r="143" spans="1:9" x14ac:dyDescent="0.3">
      <c r="A143" t="s">
        <v>300</v>
      </c>
      <c r="B143" t="s">
        <v>301</v>
      </c>
      <c r="C143">
        <v>2.7296379999999999E-2</v>
      </c>
      <c r="D143">
        <v>322783305</v>
      </c>
      <c r="E143">
        <v>48263165</v>
      </c>
      <c r="F143">
        <v>3.7958699999999999</v>
      </c>
      <c r="G143">
        <v>11825165000</v>
      </c>
      <c r="H143">
        <v>-1.1465244661153251</v>
      </c>
      <c r="I143">
        <v>-8.6853530736421334</v>
      </c>
    </row>
    <row r="144" spans="1:9" x14ac:dyDescent="0.3">
      <c r="A144" t="s">
        <v>304</v>
      </c>
      <c r="B144" t="s">
        <v>305</v>
      </c>
      <c r="C144">
        <v>3.2307699999999998E-7</v>
      </c>
      <c r="D144">
        <v>319033223</v>
      </c>
      <c r="E144">
        <v>5240317</v>
      </c>
      <c r="F144">
        <v>0.52371000000000001</v>
      </c>
      <c r="G144">
        <v>987037885840674.75</v>
      </c>
      <c r="H144">
        <v>-0.14271893347297124</v>
      </c>
      <c r="I144">
        <v>-1.0899312208431138</v>
      </c>
    </row>
    <row r="145" spans="1:9" x14ac:dyDescent="0.3">
      <c r="A145" t="s">
        <v>306</v>
      </c>
      <c r="B145" t="s">
        <v>307</v>
      </c>
      <c r="C145">
        <v>1.84</v>
      </c>
      <c r="D145">
        <v>314028569</v>
      </c>
      <c r="E145">
        <v>54047516</v>
      </c>
      <c r="F145">
        <v>4.6445100000000004</v>
      </c>
      <c r="G145">
        <v>170452559.06856331</v>
      </c>
      <c r="H145">
        <v>-1.0454899598452905</v>
      </c>
      <c r="I145">
        <v>-7.1445817932159583</v>
      </c>
    </row>
    <row r="146" spans="1:9" x14ac:dyDescent="0.3">
      <c r="A146" t="s">
        <v>308</v>
      </c>
      <c r="B146" t="s">
        <v>309</v>
      </c>
      <c r="C146">
        <v>118.67</v>
      </c>
      <c r="D146">
        <v>313442659</v>
      </c>
      <c r="E146">
        <v>2890738</v>
      </c>
      <c r="F146">
        <v>0.18432999999999999</v>
      </c>
      <c r="G146">
        <v>2639589</v>
      </c>
      <c r="H146">
        <v>-0.34598260317002993</v>
      </c>
      <c r="I146">
        <v>-6.5532931970090704</v>
      </c>
    </row>
    <row r="147" spans="1:9" x14ac:dyDescent="0.3">
      <c r="A147" t="s">
        <v>310</v>
      </c>
      <c r="B147" t="s">
        <v>311</v>
      </c>
      <c r="C147">
        <v>5.2684000000000002E-2</v>
      </c>
      <c r="D147">
        <v>308436310</v>
      </c>
      <c r="E147">
        <v>16484410</v>
      </c>
      <c r="F147">
        <v>2.7868599999999999</v>
      </c>
      <c r="G147">
        <v>5856641747.1061983</v>
      </c>
      <c r="H147">
        <v>1.1304244275461957</v>
      </c>
      <c r="I147">
        <v>10.006767595255427</v>
      </c>
    </row>
    <row r="148" spans="1:9" x14ac:dyDescent="0.3">
      <c r="A148" t="s">
        <v>312</v>
      </c>
      <c r="B148" t="s">
        <v>313</v>
      </c>
      <c r="C148">
        <v>1.0389999999999999</v>
      </c>
      <c r="D148">
        <v>307631661</v>
      </c>
      <c r="E148">
        <v>726444</v>
      </c>
      <c r="F148">
        <v>4.2520000000000002E-2</v>
      </c>
      <c r="G148">
        <v>296453053.72523397</v>
      </c>
      <c r="H148">
        <v>3.6413312387483326E-2</v>
      </c>
      <c r="I148">
        <v>0.17854974146975278</v>
      </c>
    </row>
    <row r="149" spans="1:9" x14ac:dyDescent="0.3">
      <c r="A149" t="s">
        <v>314</v>
      </c>
      <c r="B149" t="s">
        <v>315</v>
      </c>
      <c r="C149">
        <v>0.358068</v>
      </c>
      <c r="D149">
        <v>304123790</v>
      </c>
      <c r="E149">
        <v>20127621</v>
      </c>
      <c r="F149">
        <v>0.12653</v>
      </c>
      <c r="G149">
        <v>849051956.28168392</v>
      </c>
      <c r="H149">
        <v>-0.99276731782324401</v>
      </c>
      <c r="I149">
        <v>-6.2938872758589577</v>
      </c>
    </row>
    <row r="150" spans="1:9" x14ac:dyDescent="0.3">
      <c r="A150" t="s">
        <v>316</v>
      </c>
      <c r="B150" t="s">
        <v>317</v>
      </c>
      <c r="C150">
        <v>17.489999999999998</v>
      </c>
      <c r="D150">
        <v>303911650</v>
      </c>
      <c r="E150">
        <v>3033507</v>
      </c>
      <c r="F150">
        <v>3.3765800000000001</v>
      </c>
      <c r="G150">
        <v>17427448.512631599</v>
      </c>
      <c r="H150">
        <v>0.64918931790000312</v>
      </c>
      <c r="I150">
        <v>-6.1461130692192745</v>
      </c>
    </row>
    <row r="151" spans="1:9" x14ac:dyDescent="0.3">
      <c r="A151" t="s">
        <v>318</v>
      </c>
      <c r="B151" t="s">
        <v>319</v>
      </c>
      <c r="C151">
        <v>15.02</v>
      </c>
      <c r="D151">
        <v>300746266</v>
      </c>
      <c r="E151">
        <v>6302323</v>
      </c>
      <c r="F151">
        <v>-5.7029999999999997E-2</v>
      </c>
      <c r="G151">
        <v>20031287.5</v>
      </c>
      <c r="H151">
        <v>-0.22060077502847475</v>
      </c>
      <c r="I151">
        <v>-9.9458941707521316</v>
      </c>
    </row>
    <row r="152" spans="1:9" x14ac:dyDescent="0.3">
      <c r="A152" t="s">
        <v>320</v>
      </c>
      <c r="B152" t="s">
        <v>321</v>
      </c>
      <c r="C152">
        <v>0.29928100000000002</v>
      </c>
      <c r="D152">
        <v>300034776</v>
      </c>
      <c r="E152">
        <v>38604890</v>
      </c>
      <c r="F152">
        <v>-15.039339999999999</v>
      </c>
      <c r="G152">
        <v>1000000000</v>
      </c>
      <c r="H152">
        <v>-2.5331040002473739</v>
      </c>
      <c r="I152">
        <v>-37.878334906632929</v>
      </c>
    </row>
    <row r="153" spans="1:9" x14ac:dyDescent="0.3">
      <c r="A153" t="s">
        <v>324</v>
      </c>
      <c r="B153" t="s">
        <v>325</v>
      </c>
      <c r="C153">
        <v>5.7339000000000001E-2</v>
      </c>
      <c r="D153">
        <v>297586476</v>
      </c>
      <c r="E153">
        <v>7854400</v>
      </c>
      <c r="F153">
        <v>-1.03667</v>
      </c>
      <c r="G153">
        <v>5189835932.1300001</v>
      </c>
      <c r="H153">
        <v>-0.62099615639521411</v>
      </c>
      <c r="I153">
        <v>-17.662348097408643</v>
      </c>
    </row>
    <row r="154" spans="1:9" x14ac:dyDescent="0.3">
      <c r="A154" t="s">
        <v>322</v>
      </c>
      <c r="B154" t="s">
        <v>323</v>
      </c>
      <c r="C154">
        <v>3.0936399999999999E-3</v>
      </c>
      <c r="D154">
        <v>295297558</v>
      </c>
      <c r="E154">
        <v>1856766</v>
      </c>
      <c r="F154">
        <v>0.97435000000000005</v>
      </c>
      <c r="G154">
        <v>95077236366.710007</v>
      </c>
      <c r="H154">
        <v>-1.566869469016164</v>
      </c>
      <c r="I154">
        <v>7.0935045318689358</v>
      </c>
    </row>
    <row r="155" spans="1:9" x14ac:dyDescent="0.3">
      <c r="A155" t="s">
        <v>326</v>
      </c>
      <c r="B155" t="s">
        <v>327</v>
      </c>
      <c r="C155">
        <v>3.0530000000000001E-5</v>
      </c>
      <c r="D155">
        <v>294715898</v>
      </c>
      <c r="E155">
        <v>21254608</v>
      </c>
      <c r="F155">
        <v>0.48065999999999998</v>
      </c>
      <c r="G155">
        <v>9652167661420</v>
      </c>
      <c r="H155">
        <v>-0.87382045024721045</v>
      </c>
      <c r="I155">
        <v>-11.261974898690736</v>
      </c>
    </row>
    <row r="156" spans="1:9" x14ac:dyDescent="0.3">
      <c r="A156" t="s">
        <v>328</v>
      </c>
      <c r="B156" t="s">
        <v>329</v>
      </c>
      <c r="C156">
        <v>3.0067100000000001E-3</v>
      </c>
      <c r="D156">
        <v>294370064</v>
      </c>
      <c r="E156">
        <v>7507360</v>
      </c>
      <c r="F156">
        <v>5.5182799999999999</v>
      </c>
      <c r="G156">
        <v>97951717939.670685</v>
      </c>
      <c r="H156">
        <v>-0.76295536920603702</v>
      </c>
      <c r="I156">
        <v>-12.205380530654317</v>
      </c>
    </row>
    <row r="157" spans="1:9" x14ac:dyDescent="0.3">
      <c r="A157" t="s">
        <v>330</v>
      </c>
      <c r="B157" t="s">
        <v>331</v>
      </c>
      <c r="C157">
        <v>1.0009999999999999</v>
      </c>
      <c r="D157">
        <v>286816435</v>
      </c>
      <c r="E157">
        <v>117172</v>
      </c>
      <c r="F157">
        <v>3.388E-2</v>
      </c>
      <c r="G157">
        <v>286530159.14941287</v>
      </c>
      <c r="H157">
        <v>0.21034617415088672</v>
      </c>
      <c r="I157">
        <v>0.11429374486665274</v>
      </c>
    </row>
    <row r="158" spans="1:9" x14ac:dyDescent="0.3">
      <c r="A158" t="s">
        <v>332</v>
      </c>
      <c r="B158" t="s">
        <v>333</v>
      </c>
      <c r="C158">
        <v>5.7455800000000001E-3</v>
      </c>
      <c r="D158">
        <v>284136204</v>
      </c>
      <c r="E158">
        <v>10970087</v>
      </c>
      <c r="F158">
        <v>1.5097400000000001</v>
      </c>
      <c r="G158">
        <v>49444999677.590271</v>
      </c>
      <c r="H158">
        <v>0.51490637960545893</v>
      </c>
      <c r="I158">
        <v>-10.697854003804467</v>
      </c>
    </row>
    <row r="159" spans="1:9" x14ac:dyDescent="0.3">
      <c r="A159" t="s">
        <v>334</v>
      </c>
      <c r="B159" t="s">
        <v>335</v>
      </c>
      <c r="C159">
        <v>18.95</v>
      </c>
      <c r="D159">
        <v>284009822</v>
      </c>
      <c r="E159">
        <v>97610</v>
      </c>
      <c r="F159">
        <v>0.39419999999999999</v>
      </c>
      <c r="G159">
        <v>14981364.28253293</v>
      </c>
      <c r="H159">
        <v>-0.3268767367031214</v>
      </c>
      <c r="I159">
        <v>-2.9082326279936401</v>
      </c>
    </row>
    <row r="160" spans="1:9" x14ac:dyDescent="0.3">
      <c r="A160" t="s">
        <v>336</v>
      </c>
      <c r="B160" t="s">
        <v>337</v>
      </c>
      <c r="C160">
        <v>75.13</v>
      </c>
      <c r="D160">
        <v>283826264</v>
      </c>
      <c r="E160">
        <v>886227</v>
      </c>
      <c r="F160">
        <v>-0.33883999999999997</v>
      </c>
      <c r="G160">
        <v>3777096.9336000001</v>
      </c>
      <c r="H160">
        <v>0.10604256576576972</v>
      </c>
      <c r="I160">
        <v>-14.245363147709414</v>
      </c>
    </row>
    <row r="161" spans="1:9" x14ac:dyDescent="0.3">
      <c r="A161" t="s">
        <v>338</v>
      </c>
      <c r="B161" t="s">
        <v>339</v>
      </c>
      <c r="C161">
        <v>2.8398599999999999E-7</v>
      </c>
      <c r="D161">
        <v>281539628</v>
      </c>
      <c r="E161">
        <v>6862439</v>
      </c>
      <c r="F161">
        <v>0.20669999999999999</v>
      </c>
      <c r="G161">
        <v>990105592982874.75</v>
      </c>
      <c r="H161">
        <v>-1.1642310509314393</v>
      </c>
      <c r="I161">
        <v>-6.1047753860788738</v>
      </c>
    </row>
    <row r="162" spans="1:9" x14ac:dyDescent="0.3">
      <c r="A162" t="s">
        <v>340</v>
      </c>
      <c r="B162" t="s">
        <v>341</v>
      </c>
      <c r="C162">
        <v>4.4382959999999999E-2</v>
      </c>
      <c r="D162">
        <v>279627190</v>
      </c>
      <c r="E162">
        <v>38588326</v>
      </c>
      <c r="F162">
        <v>4.7800099999999999</v>
      </c>
      <c r="G162">
        <v>6289850275.3489714</v>
      </c>
      <c r="H162">
        <v>0.20048364614252021</v>
      </c>
      <c r="I162">
        <v>-3.2606585606958194</v>
      </c>
    </row>
    <row r="163" spans="1:9" x14ac:dyDescent="0.3">
      <c r="A163" t="s">
        <v>342</v>
      </c>
      <c r="B163" t="s">
        <v>343</v>
      </c>
      <c r="C163">
        <v>0.129576</v>
      </c>
      <c r="D163">
        <v>278859354</v>
      </c>
      <c r="E163">
        <v>48542257</v>
      </c>
      <c r="F163">
        <v>1.76119</v>
      </c>
      <c r="G163">
        <v>2150875957</v>
      </c>
      <c r="H163">
        <v>-0.4436143850960757</v>
      </c>
      <c r="I163">
        <v>-11.350403958743991</v>
      </c>
    </row>
    <row r="164" spans="1:9" x14ac:dyDescent="0.3">
      <c r="A164" t="s">
        <v>344</v>
      </c>
      <c r="B164" t="s">
        <v>345</v>
      </c>
      <c r="C164">
        <v>2.54243E-2</v>
      </c>
      <c r="D164">
        <v>274476252</v>
      </c>
      <c r="E164">
        <v>11882796</v>
      </c>
      <c r="F164">
        <v>1.8640000000000001</v>
      </c>
      <c r="G164">
        <v>10799867657.473471</v>
      </c>
      <c r="H164">
        <v>-0.91393210402664038</v>
      </c>
      <c r="I164">
        <v>-8.6517544593618911</v>
      </c>
    </row>
    <row r="165" spans="1:9" x14ac:dyDescent="0.3">
      <c r="A165" t="s">
        <v>346</v>
      </c>
      <c r="B165" t="s">
        <v>347</v>
      </c>
      <c r="C165">
        <v>0.99280000000000002</v>
      </c>
      <c r="D165">
        <v>273884325</v>
      </c>
      <c r="E165">
        <v>747667</v>
      </c>
      <c r="F165">
        <v>4.1509999999999998E-2</v>
      </c>
      <c r="G165">
        <v>275847684.01026767</v>
      </c>
      <c r="H165">
        <v>-3.0696287601369623E-2</v>
      </c>
      <c r="I165">
        <v>-0.102892882369164</v>
      </c>
    </row>
    <row r="166" spans="1:9" x14ac:dyDescent="0.3">
      <c r="A166" t="s">
        <v>348</v>
      </c>
      <c r="B166" t="s">
        <v>349</v>
      </c>
      <c r="C166">
        <v>0.124293</v>
      </c>
      <c r="D166">
        <v>260931769</v>
      </c>
      <c r="E166">
        <v>4534746</v>
      </c>
      <c r="F166">
        <v>-4.2963399999999998</v>
      </c>
      <c r="G166">
        <v>2100000000</v>
      </c>
      <c r="H166">
        <v>-0.66415224522006822</v>
      </c>
      <c r="I166">
        <v>-3.2959189944189551</v>
      </c>
    </row>
    <row r="167" spans="1:9" x14ac:dyDescent="0.3">
      <c r="A167" t="s">
        <v>352</v>
      </c>
      <c r="B167" t="s">
        <v>353</v>
      </c>
      <c r="C167">
        <v>6.31</v>
      </c>
      <c r="D167">
        <v>255088056</v>
      </c>
      <c r="E167">
        <v>16173061</v>
      </c>
      <c r="F167">
        <v>1.02474</v>
      </c>
      <c r="G167">
        <v>40408647.500078425</v>
      </c>
      <c r="H167">
        <v>-0.40392273980911308</v>
      </c>
      <c r="I167">
        <v>-8.5493844588959327</v>
      </c>
    </row>
    <row r="168" spans="1:9" x14ac:dyDescent="0.3">
      <c r="A168" t="s">
        <v>350</v>
      </c>
      <c r="B168" t="s">
        <v>351</v>
      </c>
      <c r="C168">
        <v>0.101539</v>
      </c>
      <c r="D168">
        <v>254684410</v>
      </c>
      <c r="E168">
        <v>13737017</v>
      </c>
      <c r="F168">
        <v>-18.73434</v>
      </c>
      <c r="G168">
        <v>2500000000</v>
      </c>
      <c r="H168">
        <v>-2.2438954959968607</v>
      </c>
      <c r="I168">
        <v>-50.862414168605994</v>
      </c>
    </row>
    <row r="169" spans="1:9" x14ac:dyDescent="0.3">
      <c r="A169" t="s">
        <v>354</v>
      </c>
      <c r="B169" t="s">
        <v>355</v>
      </c>
      <c r="C169">
        <v>5.6327000000000002E-2</v>
      </c>
      <c r="D169">
        <v>250268073</v>
      </c>
      <c r="E169">
        <v>5992956</v>
      </c>
      <c r="F169">
        <v>0.40656999999999999</v>
      </c>
      <c r="G169">
        <v>4446812518</v>
      </c>
      <c r="H169">
        <v>-0.43209859983376631</v>
      </c>
      <c r="I169">
        <v>-6.207528963308147</v>
      </c>
    </row>
    <row r="170" spans="1:9" x14ac:dyDescent="0.3">
      <c r="A170" t="s">
        <v>356</v>
      </c>
      <c r="B170" t="s">
        <v>357</v>
      </c>
      <c r="C170">
        <v>0.99952300000000005</v>
      </c>
      <c r="D170">
        <v>249856878</v>
      </c>
      <c r="E170">
        <v>130928911</v>
      </c>
      <c r="F170">
        <v>-9.9699999999999997E-3</v>
      </c>
      <c r="G170">
        <v>250000000</v>
      </c>
      <c r="H170">
        <v>-2.481104511874424E-2</v>
      </c>
      <c r="I170">
        <v>-1.3818904547403223E-2</v>
      </c>
    </row>
    <row r="171" spans="1:9" x14ac:dyDescent="0.3">
      <c r="A171" t="s">
        <v>358</v>
      </c>
      <c r="B171" t="s">
        <v>359</v>
      </c>
      <c r="C171">
        <v>0.99802999999999997</v>
      </c>
      <c r="D171">
        <v>243945765</v>
      </c>
      <c r="E171">
        <v>4546065</v>
      </c>
      <c r="F171">
        <v>-1.384E-2</v>
      </c>
      <c r="G171">
        <v>244340886.50039721</v>
      </c>
      <c r="H171">
        <v>-0.12642839999330224</v>
      </c>
      <c r="I171">
        <v>-0.24888000344354305</v>
      </c>
    </row>
    <row r="172" spans="1:9" x14ac:dyDescent="0.3">
      <c r="A172" t="s">
        <v>360</v>
      </c>
      <c r="B172" t="s">
        <v>361</v>
      </c>
      <c r="C172">
        <v>1.1400000000000001E-6</v>
      </c>
      <c r="D172">
        <v>239256953</v>
      </c>
      <c r="E172">
        <v>36402821</v>
      </c>
      <c r="F172">
        <v>3.4689999999999999E-2</v>
      </c>
      <c r="G172">
        <v>210000000000000</v>
      </c>
      <c r="H172">
        <v>-0.26114304249148512</v>
      </c>
      <c r="I172">
        <v>-7.4808556173684577</v>
      </c>
    </row>
    <row r="173" spans="1:9" x14ac:dyDescent="0.3">
      <c r="A173" t="s">
        <v>362</v>
      </c>
      <c r="B173" t="s">
        <v>363</v>
      </c>
      <c r="C173">
        <v>0.49956499999999998</v>
      </c>
      <c r="D173">
        <v>236509910</v>
      </c>
      <c r="E173">
        <v>120667009</v>
      </c>
      <c r="F173">
        <v>15.31457</v>
      </c>
      <c r="G173">
        <v>473835191.30000001</v>
      </c>
      <c r="H173">
        <v>-2.6858335023109459</v>
      </c>
      <c r="I173">
        <v>1.1813689464871238</v>
      </c>
    </row>
    <row r="174" spans="1:9" x14ac:dyDescent="0.3">
      <c r="A174" t="s">
        <v>364</v>
      </c>
      <c r="B174" t="s">
        <v>365</v>
      </c>
      <c r="C174">
        <v>0.20146600000000001</v>
      </c>
      <c r="D174">
        <v>233615317</v>
      </c>
      <c r="E174">
        <v>13067083</v>
      </c>
      <c r="F174">
        <v>-4.54087</v>
      </c>
      <c r="G174">
        <v>1159459590.7885313</v>
      </c>
      <c r="H174">
        <v>0.89722200769105975</v>
      </c>
      <c r="I174">
        <v>-13.146690994478416</v>
      </c>
    </row>
    <row r="175" spans="1:9" x14ac:dyDescent="0.3">
      <c r="A175" t="s">
        <v>366</v>
      </c>
      <c r="B175" t="s">
        <v>367</v>
      </c>
      <c r="C175">
        <v>7.1777999999999995E-2</v>
      </c>
      <c r="D175">
        <v>233043466</v>
      </c>
      <c r="E175">
        <v>7533849</v>
      </c>
      <c r="F175">
        <v>1.11951</v>
      </c>
      <c r="G175">
        <v>3246726475</v>
      </c>
      <c r="H175">
        <v>-0.30284271484074793</v>
      </c>
      <c r="I175">
        <v>-5.4279615468585494</v>
      </c>
    </row>
    <row r="176" spans="1:9" x14ac:dyDescent="0.3">
      <c r="A176" t="s">
        <v>368</v>
      </c>
      <c r="B176" t="s">
        <v>369</v>
      </c>
      <c r="C176">
        <v>0.77480099999999996</v>
      </c>
      <c r="D176">
        <v>226446251</v>
      </c>
      <c r="E176">
        <v>12787359</v>
      </c>
      <c r="F176">
        <v>1.13148</v>
      </c>
      <c r="G176">
        <v>292078878.41442698</v>
      </c>
      <c r="H176">
        <v>-1.024241013953004</v>
      </c>
      <c r="I176">
        <v>-3.6286971212036208</v>
      </c>
    </row>
    <row r="177" spans="1:9" x14ac:dyDescent="0.3">
      <c r="A177" t="s">
        <v>370</v>
      </c>
      <c r="B177" t="s">
        <v>371</v>
      </c>
      <c r="C177">
        <v>0.99920299999999995</v>
      </c>
      <c r="D177">
        <v>221937905</v>
      </c>
      <c r="E177">
        <v>17596222</v>
      </c>
      <c r="F177">
        <v>2.0559999999999998E-2</v>
      </c>
      <c r="G177">
        <v>222051397.73447999</v>
      </c>
      <c r="H177">
        <v>-2.853099403055992E-2</v>
      </c>
      <c r="I177">
        <v>-3.9360063969295839E-2</v>
      </c>
    </row>
    <row r="178" spans="1:9" x14ac:dyDescent="0.3">
      <c r="A178" t="s">
        <v>372</v>
      </c>
      <c r="B178" t="s">
        <v>373</v>
      </c>
      <c r="C178">
        <v>22.65</v>
      </c>
      <c r="D178">
        <v>218992007</v>
      </c>
      <c r="E178">
        <v>9888582</v>
      </c>
      <c r="F178">
        <v>-0.27915000000000001</v>
      </c>
      <c r="G178">
        <v>9668189.2783608865</v>
      </c>
      <c r="H178">
        <v>-0.99654263582428237</v>
      </c>
      <c r="I178">
        <v>5.8084946925981366E-2</v>
      </c>
    </row>
    <row r="179" spans="1:9" x14ac:dyDescent="0.3">
      <c r="A179" t="s">
        <v>374</v>
      </c>
      <c r="B179" t="s">
        <v>375</v>
      </c>
      <c r="C179">
        <v>8.7041999999999994E-2</v>
      </c>
      <c r="D179">
        <v>218027563</v>
      </c>
      <c r="E179">
        <v>43175646</v>
      </c>
      <c r="F179">
        <v>4.1123399999999997</v>
      </c>
      <c r="G179">
        <v>2505729166.6666999</v>
      </c>
      <c r="H179">
        <v>-0.47675133310394902</v>
      </c>
      <c r="I179">
        <v>-7.4191204741183556</v>
      </c>
    </row>
    <row r="180" spans="1:9" x14ac:dyDescent="0.3">
      <c r="A180" t="s">
        <v>376</v>
      </c>
      <c r="B180" t="s">
        <v>377</v>
      </c>
      <c r="C180">
        <v>0.98303700000000005</v>
      </c>
      <c r="D180">
        <v>216944422</v>
      </c>
      <c r="E180">
        <v>1.47</v>
      </c>
      <c r="G180">
        <v>220687959.0114319</v>
      </c>
      <c r="I180">
        <v>-4.7730769083253341E-2</v>
      </c>
    </row>
    <row r="181" spans="1:9" x14ac:dyDescent="0.3">
      <c r="A181" t="s">
        <v>378</v>
      </c>
      <c r="B181" t="s">
        <v>379</v>
      </c>
      <c r="C181">
        <v>9.035E-2</v>
      </c>
      <c r="D181">
        <v>211208880</v>
      </c>
      <c r="E181">
        <v>16199656</v>
      </c>
      <c r="F181">
        <v>2.7307199999999998</v>
      </c>
      <c r="G181">
        <v>2340000000</v>
      </c>
      <c r="H181">
        <v>-8.1519674093067152E-2</v>
      </c>
      <c r="I181">
        <v>13.139190647468006</v>
      </c>
    </row>
    <row r="182" spans="1:9" x14ac:dyDescent="0.3">
      <c r="A182" t="s">
        <v>380</v>
      </c>
      <c r="B182" t="s">
        <v>381</v>
      </c>
      <c r="C182">
        <v>1.2</v>
      </c>
      <c r="D182">
        <v>207896500</v>
      </c>
      <c r="E182">
        <v>17282039</v>
      </c>
      <c r="F182">
        <v>0.2586</v>
      </c>
      <c r="G182">
        <v>173384825.001344</v>
      </c>
      <c r="H182">
        <v>-0.42772206487220499</v>
      </c>
      <c r="I182">
        <v>-4.5043337213582637</v>
      </c>
    </row>
    <row r="183" spans="1:9" x14ac:dyDescent="0.3">
      <c r="A183" t="s">
        <v>384</v>
      </c>
      <c r="B183" t="s">
        <v>385</v>
      </c>
      <c r="C183">
        <v>0.93042400000000003</v>
      </c>
      <c r="D183">
        <v>207038323</v>
      </c>
      <c r="E183">
        <v>135313434</v>
      </c>
      <c r="F183">
        <v>15.293100000000001</v>
      </c>
      <c r="G183">
        <v>222650000</v>
      </c>
      <c r="H183">
        <v>-0.79547780202328666</v>
      </c>
      <c r="I183">
        <v>129.29528660678614</v>
      </c>
    </row>
    <row r="184" spans="1:9" x14ac:dyDescent="0.3">
      <c r="A184" t="s">
        <v>382</v>
      </c>
      <c r="B184" t="s">
        <v>383</v>
      </c>
      <c r="C184">
        <v>0.76845799999999997</v>
      </c>
      <c r="D184">
        <v>206897302</v>
      </c>
      <c r="E184">
        <v>31053207</v>
      </c>
      <c r="F184">
        <v>3.5968499999999999</v>
      </c>
      <c r="G184">
        <v>268977952.31723797</v>
      </c>
      <c r="H184">
        <v>-0.90660798781897445</v>
      </c>
      <c r="I184">
        <v>-1.0844685199332689</v>
      </c>
    </row>
    <row r="185" spans="1:9" x14ac:dyDescent="0.3">
      <c r="A185" t="s">
        <v>390</v>
      </c>
      <c r="B185" t="s">
        <v>391</v>
      </c>
      <c r="C185">
        <v>2.89</v>
      </c>
      <c r="D185">
        <v>204319449</v>
      </c>
      <c r="E185">
        <v>6172092</v>
      </c>
      <c r="F185">
        <v>1.1685099999999999</v>
      </c>
      <c r="G185">
        <v>70530000</v>
      </c>
      <c r="H185">
        <v>-0.16260815431483883</v>
      </c>
      <c r="I185">
        <v>-7.2877599562878173</v>
      </c>
    </row>
    <row r="186" spans="1:9" x14ac:dyDescent="0.3">
      <c r="A186" t="s">
        <v>386</v>
      </c>
      <c r="B186" t="s">
        <v>387</v>
      </c>
      <c r="C186">
        <v>0.34782600000000002</v>
      </c>
      <c r="D186">
        <v>204079057</v>
      </c>
      <c r="E186">
        <v>12734645</v>
      </c>
      <c r="F186">
        <v>16.126799999999999</v>
      </c>
      <c r="G186">
        <v>587143499</v>
      </c>
      <c r="H186">
        <v>-0.5038008278453715</v>
      </c>
      <c r="I186">
        <v>5.0957629691004964</v>
      </c>
    </row>
    <row r="187" spans="1:9" x14ac:dyDescent="0.3">
      <c r="A187" t="s">
        <v>388</v>
      </c>
      <c r="B187" t="s">
        <v>389</v>
      </c>
      <c r="C187">
        <v>0.203241</v>
      </c>
      <c r="D187">
        <v>203704003</v>
      </c>
      <c r="E187">
        <v>8432152</v>
      </c>
      <c r="F187">
        <v>2.0936900000000001</v>
      </c>
      <c r="G187">
        <v>1000000000</v>
      </c>
      <c r="H187">
        <v>-0.87453888258106072</v>
      </c>
      <c r="I187">
        <v>-7.6419899559162312</v>
      </c>
    </row>
    <row r="188" spans="1:9" x14ac:dyDescent="0.3">
      <c r="A188" t="s">
        <v>392</v>
      </c>
      <c r="B188" t="s">
        <v>393</v>
      </c>
      <c r="C188">
        <v>1</v>
      </c>
      <c r="D188">
        <v>202500000</v>
      </c>
      <c r="E188">
        <v>0</v>
      </c>
      <c r="F188">
        <v>0</v>
      </c>
      <c r="G188">
        <v>202500000</v>
      </c>
      <c r="H188">
        <v>0</v>
      </c>
      <c r="I188">
        <v>0</v>
      </c>
    </row>
    <row r="189" spans="1:9" x14ac:dyDescent="0.3">
      <c r="A189" t="s">
        <v>394</v>
      </c>
      <c r="B189" t="s">
        <v>395</v>
      </c>
      <c r="C189">
        <v>0.74696399999999996</v>
      </c>
      <c r="D189">
        <v>200721703</v>
      </c>
      <c r="E189">
        <v>8941451</v>
      </c>
      <c r="F189">
        <v>2.0979000000000001</v>
      </c>
      <c r="G189">
        <v>269750000</v>
      </c>
      <c r="H189">
        <v>0.57632346678547186</v>
      </c>
      <c r="I189">
        <v>-28.694899713132511</v>
      </c>
    </row>
    <row r="190" spans="1:9" x14ac:dyDescent="0.3">
      <c r="A190" t="s">
        <v>404</v>
      </c>
      <c r="B190" t="s">
        <v>405</v>
      </c>
      <c r="C190">
        <v>8.1731999999999999E-2</v>
      </c>
      <c r="D190">
        <v>198445448</v>
      </c>
      <c r="E190">
        <v>107608043</v>
      </c>
      <c r="F190">
        <v>-27.224499999999999</v>
      </c>
      <c r="G190">
        <v>2428000000</v>
      </c>
      <c r="H190">
        <v>2.053190169349949</v>
      </c>
      <c r="I190">
        <v>-51.941091670988307</v>
      </c>
    </row>
    <row r="191" spans="1:9" x14ac:dyDescent="0.3">
      <c r="A191" t="s">
        <v>396</v>
      </c>
      <c r="B191" t="s">
        <v>397</v>
      </c>
      <c r="C191">
        <v>0.19622300000000001</v>
      </c>
      <c r="D191">
        <v>195994047</v>
      </c>
      <c r="E191">
        <v>27650799</v>
      </c>
      <c r="F191">
        <v>1.8666</v>
      </c>
      <c r="G191">
        <v>998926392</v>
      </c>
      <c r="H191">
        <v>-0.53044355158678147</v>
      </c>
      <c r="I191">
        <v>-9.0071225599279394</v>
      </c>
    </row>
    <row r="192" spans="1:9" x14ac:dyDescent="0.3">
      <c r="A192" t="s">
        <v>398</v>
      </c>
      <c r="B192" t="s">
        <v>399</v>
      </c>
      <c r="C192">
        <v>0.439969</v>
      </c>
      <c r="D192">
        <v>194782500</v>
      </c>
      <c r="E192">
        <v>55304403</v>
      </c>
      <c r="F192">
        <v>-0.79961000000000004</v>
      </c>
      <c r="G192">
        <v>447274118</v>
      </c>
      <c r="H192">
        <v>-3.6650378254042031</v>
      </c>
      <c r="I192">
        <v>29.372409048940156</v>
      </c>
    </row>
    <row r="193" spans="1:9" x14ac:dyDescent="0.3">
      <c r="A193" t="s">
        <v>402</v>
      </c>
      <c r="B193" t="s">
        <v>403</v>
      </c>
      <c r="C193">
        <v>7.2418999999999997E-2</v>
      </c>
      <c r="D193">
        <v>193152318</v>
      </c>
      <c r="E193">
        <v>12927495</v>
      </c>
      <c r="F193">
        <v>1.44208</v>
      </c>
      <c r="G193">
        <v>2667289212.2233224</v>
      </c>
      <c r="H193">
        <v>-0.38325574458021366</v>
      </c>
      <c r="I193">
        <v>-6.1037682714714938</v>
      </c>
    </row>
    <row r="194" spans="1:9" x14ac:dyDescent="0.3">
      <c r="A194" t="s">
        <v>400</v>
      </c>
      <c r="B194" t="s">
        <v>401</v>
      </c>
      <c r="C194">
        <v>0.46341100000000002</v>
      </c>
      <c r="D194">
        <v>193042907</v>
      </c>
      <c r="E194">
        <v>7466340</v>
      </c>
      <c r="F194">
        <v>0.45784999999999998</v>
      </c>
      <c r="G194">
        <v>416649900</v>
      </c>
      <c r="H194">
        <v>-1.0515680697051739</v>
      </c>
      <c r="I194">
        <v>-8.0751598844182162</v>
      </c>
    </row>
    <row r="195" spans="1:9" x14ac:dyDescent="0.3">
      <c r="A195" t="s">
        <v>406</v>
      </c>
      <c r="B195" t="s">
        <v>407</v>
      </c>
      <c r="C195">
        <v>0.19168399999999999</v>
      </c>
      <c r="D195">
        <v>191656259</v>
      </c>
      <c r="E195">
        <v>22918332</v>
      </c>
      <c r="F195">
        <v>3.6236999999999999</v>
      </c>
      <c r="G195">
        <v>999975745.89123499</v>
      </c>
      <c r="H195">
        <v>-1.0280060505233499</v>
      </c>
      <c r="I195">
        <v>-10.506516801921236</v>
      </c>
    </row>
    <row r="196" spans="1:9" x14ac:dyDescent="0.3">
      <c r="A196" t="s">
        <v>408</v>
      </c>
      <c r="B196" t="s">
        <v>409</v>
      </c>
      <c r="C196">
        <v>1.51</v>
      </c>
      <c r="D196">
        <v>188281229</v>
      </c>
      <c r="E196">
        <v>172487</v>
      </c>
      <c r="F196">
        <v>-0.75931999999999999</v>
      </c>
      <c r="G196">
        <v>124818848.125</v>
      </c>
      <c r="H196">
        <v>-7.0580783258457416E-2</v>
      </c>
      <c r="I196">
        <v>-2.0933953161405063</v>
      </c>
    </row>
    <row r="197" spans="1:9" x14ac:dyDescent="0.3">
      <c r="A197" t="s">
        <v>410</v>
      </c>
      <c r="B197" t="s">
        <v>411</v>
      </c>
      <c r="C197">
        <v>1.1499999999999999</v>
      </c>
      <c r="D197">
        <v>185044439</v>
      </c>
      <c r="E197">
        <v>7894216</v>
      </c>
      <c r="F197">
        <v>1.96709</v>
      </c>
      <c r="G197">
        <v>162061501</v>
      </c>
      <c r="H197">
        <v>-0.48562761328483611</v>
      </c>
      <c r="I197">
        <v>6.1040954573879143</v>
      </c>
    </row>
    <row r="198" spans="1:9" x14ac:dyDescent="0.3">
      <c r="A198" t="s">
        <v>412</v>
      </c>
      <c r="B198" t="s">
        <v>413</v>
      </c>
      <c r="C198">
        <v>4.7894599999999997E-3</v>
      </c>
      <c r="D198">
        <v>183071710</v>
      </c>
      <c r="E198">
        <v>4275494</v>
      </c>
      <c r="F198">
        <v>0.52346000000000004</v>
      </c>
      <c r="G198">
        <v>38226313934.617386</v>
      </c>
      <c r="H198">
        <v>-8.0085619634541722E-2</v>
      </c>
      <c r="I198">
        <v>-4.2133778240596405</v>
      </c>
    </row>
    <row r="199" spans="1:9" x14ac:dyDescent="0.3">
      <c r="A199" t="s">
        <v>414</v>
      </c>
      <c r="B199" t="s">
        <v>415</v>
      </c>
      <c r="C199">
        <v>1.079</v>
      </c>
      <c r="D199">
        <v>182450322</v>
      </c>
      <c r="E199">
        <v>10083252</v>
      </c>
      <c r="F199">
        <v>2.6919999999999999E-2</v>
      </c>
      <c r="G199">
        <v>169151027.93535909</v>
      </c>
      <c r="H199">
        <v>3.9852367650472558E-4</v>
      </c>
      <c r="I199">
        <v>0.19969443738751713</v>
      </c>
    </row>
    <row r="200" spans="1:9" x14ac:dyDescent="0.3">
      <c r="A200" t="s">
        <v>416</v>
      </c>
      <c r="B200" t="s">
        <v>417</v>
      </c>
      <c r="C200">
        <v>1.36</v>
      </c>
      <c r="D200">
        <v>181666965</v>
      </c>
      <c r="E200">
        <v>414221</v>
      </c>
      <c r="F200">
        <v>6.0470000000000003E-2</v>
      </c>
      <c r="G200">
        <v>133187995.73888969</v>
      </c>
      <c r="H200">
        <v>-9.2043837236484405E-2</v>
      </c>
      <c r="I200">
        <v>0.2432015043838093</v>
      </c>
    </row>
    <row r="201" spans="1:9" x14ac:dyDescent="0.3">
      <c r="A201" t="s">
        <v>418</v>
      </c>
      <c r="B201" t="s">
        <v>419</v>
      </c>
      <c r="C201">
        <v>1.1000000000000001</v>
      </c>
      <c r="D201">
        <v>181529558</v>
      </c>
      <c r="E201">
        <v>795166</v>
      </c>
      <c r="F201">
        <v>-1.5769999999999999E-2</v>
      </c>
      <c r="G201">
        <v>164555865.561941</v>
      </c>
      <c r="H201">
        <v>1.199410326652639E-2</v>
      </c>
      <c r="I201">
        <v>0.16971880334998318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25283-C1B8-4EF0-BF8A-69303F350900}">
  <sheetPr codeName="Sheet3"/>
  <dimension ref="A1:R201"/>
  <sheetViews>
    <sheetView workbookViewId="0">
      <selection activeCell="S186" sqref="S186"/>
    </sheetView>
  </sheetViews>
  <sheetFormatPr defaultRowHeight="14.4" x14ac:dyDescent="0.3"/>
  <cols>
    <col min="13" max="13" width="11" bestFit="1" customWidth="1"/>
  </cols>
  <sheetData>
    <row r="1" spans="1:17" ht="43.2" x14ac:dyDescent="0.3">
      <c r="A1" t="s">
        <v>420</v>
      </c>
      <c r="B1" s="3" t="s">
        <v>427</v>
      </c>
      <c r="C1" t="s">
        <v>428</v>
      </c>
      <c r="D1" t="s">
        <v>422</v>
      </c>
      <c r="E1" t="s">
        <v>421</v>
      </c>
      <c r="F1" t="s">
        <v>424</v>
      </c>
      <c r="G1" t="s">
        <v>423</v>
      </c>
      <c r="H1" t="s">
        <v>425</v>
      </c>
      <c r="I1" t="s">
        <v>426</v>
      </c>
      <c r="J1" s="3" t="s">
        <v>429</v>
      </c>
      <c r="K1" s="3" t="s">
        <v>430</v>
      </c>
      <c r="L1" s="3" t="s">
        <v>431</v>
      </c>
      <c r="M1" s="3" t="s">
        <v>432</v>
      </c>
      <c r="N1" s="3" t="s">
        <v>456</v>
      </c>
      <c r="O1" t="s">
        <v>457</v>
      </c>
      <c r="P1" t="s">
        <v>454</v>
      </c>
      <c r="Q1" s="14" t="s">
        <v>455</v>
      </c>
    </row>
    <row r="2" spans="1:17" x14ac:dyDescent="0.3">
      <c r="A2" s="3" t="s">
        <v>20</v>
      </c>
      <c r="B2" t="s">
        <v>21</v>
      </c>
      <c r="C2">
        <v>77625</v>
      </c>
      <c r="D2">
        <v>1555086049689</v>
      </c>
      <c r="E2">
        <v>27706270538</v>
      </c>
      <c r="F2">
        <v>0.27544999999999997</v>
      </c>
      <c r="G2">
        <v>20032296</v>
      </c>
      <c r="H2">
        <v>-0.26998955724195595</v>
      </c>
      <c r="I2">
        <v>-2.7081622791946165</v>
      </c>
      <c r="J2" t="str">
        <f t="shared" ref="J2:J33" si="0">LEFT(B2,1)</f>
        <v>B</v>
      </c>
      <c r="K2" t="b">
        <f t="shared" ref="K2:K33" si="1">OR(J2="A",J2="E",J2="I",J2="O",J2="U",J2="B",J2="C",J2="D")</f>
        <v>1</v>
      </c>
      <c r="L2" t="str">
        <f t="shared" ref="L2:L33" si="2">IF(C2&lt;=0.05,"0-0.05",IF(C2&lt;=0.5,"0.05-0.5",IF(C2&lt;=5,"0.5-5",IF(C2&lt;=50,"5-50","&gt;50"))))</f>
        <v>&gt;50</v>
      </c>
      <c r="M2">
        <f t="shared" ref="M2:M33" si="3">ABS(AVERAGE(G2,H2,I2))</f>
        <v>6677431.0072827218</v>
      </c>
      <c r="N2" t="str">
        <f t="shared" ref="N2:N33" si="4">IF(C2&lt;=50,"0-50","&gt;50")</f>
        <v>&gt;50</v>
      </c>
      <c r="O2" t="str">
        <f>IF(C2&lt;10,"Up to 10","&gt;=10")</f>
        <v>&gt;=10</v>
      </c>
      <c r="P2">
        <f t="shared" ref="P2:P33" si="5">C2/(1+(H2/100))</f>
        <v>77835.146768137929</v>
      </c>
      <c r="Q2">
        <f t="shared" ref="Q2:Q33" si="6">C2-P2</f>
        <v>-210.14676813792903</v>
      </c>
    </row>
    <row r="3" spans="1:17" x14ac:dyDescent="0.3">
      <c r="A3" s="3" t="s">
        <v>22</v>
      </c>
      <c r="B3" t="s">
        <v>23</v>
      </c>
      <c r="C3">
        <v>2127.3200000000002</v>
      </c>
      <c r="D3">
        <v>256742909305</v>
      </c>
      <c r="E3">
        <v>11467644219</v>
      </c>
      <c r="F3">
        <v>-2.0459999999999999E-2</v>
      </c>
      <c r="G3">
        <v>120685618.4990976</v>
      </c>
      <c r="H3">
        <v>-0.35164690734941828</v>
      </c>
      <c r="I3">
        <v>-6.0984806126137565</v>
      </c>
      <c r="J3" t="str">
        <f t="shared" si="0"/>
        <v>E</v>
      </c>
      <c r="K3" t="b">
        <f t="shared" si="1"/>
        <v>1</v>
      </c>
      <c r="L3" t="str">
        <f t="shared" si="2"/>
        <v>&gt;50</v>
      </c>
      <c r="M3">
        <f t="shared" si="3"/>
        <v>40228537.349656694</v>
      </c>
      <c r="N3" t="str">
        <f t="shared" si="4"/>
        <v>&gt;50</v>
      </c>
      <c r="O3" t="str">
        <f>IF(C2&lt;10,"Up to 10","&gt;=10")</f>
        <v>&gt;=10</v>
      </c>
      <c r="P3">
        <f t="shared" si="5"/>
        <v>2134.8270533102245</v>
      </c>
      <c r="Q3">
        <f t="shared" si="6"/>
        <v>-7.5070533102243644</v>
      </c>
    </row>
    <row r="4" spans="1:17" x14ac:dyDescent="0.3">
      <c r="A4" s="3" t="s">
        <v>24</v>
      </c>
      <c r="B4" t="s">
        <v>25</v>
      </c>
      <c r="C4">
        <v>0.99902000000000002</v>
      </c>
      <c r="D4">
        <v>189656929329</v>
      </c>
      <c r="E4">
        <v>50796303933</v>
      </c>
      <c r="F4">
        <v>1.1050000000000001E-2</v>
      </c>
      <c r="G4">
        <v>189842359508.68381</v>
      </c>
      <c r="H4">
        <v>-1.9520477448468752E-4</v>
      </c>
      <c r="I4">
        <v>-4.4205563985474129E-2</v>
      </c>
      <c r="J4" t="str">
        <f t="shared" si="0"/>
        <v>T</v>
      </c>
      <c r="K4" t="b">
        <f t="shared" si="1"/>
        <v>0</v>
      </c>
      <c r="L4" t="str">
        <f t="shared" si="2"/>
        <v>0.5-5</v>
      </c>
      <c r="M4">
        <f t="shared" si="3"/>
        <v>63280786502.879799</v>
      </c>
      <c r="N4" t="str">
        <f t="shared" si="4"/>
        <v>0-50</v>
      </c>
      <c r="O4" t="str">
        <f t="shared" ref="O4:O67" si="7">IF(C3&lt;10,"Up to 10","&gt;=10")</f>
        <v>&gt;=10</v>
      </c>
      <c r="P4">
        <f t="shared" si="5"/>
        <v>0.99902195013854489</v>
      </c>
      <c r="Q4">
        <f t="shared" si="6"/>
        <v>-1.9501385448705832E-6</v>
      </c>
    </row>
    <row r="5" spans="1:17" x14ac:dyDescent="0.3">
      <c r="A5" s="3" t="s">
        <v>26</v>
      </c>
      <c r="B5" t="s">
        <v>27</v>
      </c>
      <c r="C5">
        <v>652.91</v>
      </c>
      <c r="D5">
        <v>87990533731</v>
      </c>
      <c r="E5">
        <v>621619496</v>
      </c>
      <c r="F5">
        <v>1.47464</v>
      </c>
      <c r="G5">
        <v>134785126.07999989</v>
      </c>
      <c r="H5">
        <v>-0.19746184012934381</v>
      </c>
      <c r="I5">
        <v>-2.9628913906440819</v>
      </c>
      <c r="J5" t="str">
        <f t="shared" si="0"/>
        <v>B</v>
      </c>
      <c r="K5" t="b">
        <f t="shared" si="1"/>
        <v>1</v>
      </c>
      <c r="L5" t="str">
        <f t="shared" si="2"/>
        <v>&gt;50</v>
      </c>
      <c r="M5">
        <f t="shared" si="3"/>
        <v>44928374.306548886</v>
      </c>
      <c r="N5" t="str">
        <f t="shared" si="4"/>
        <v>&gt;50</v>
      </c>
      <c r="O5" t="str">
        <f t="shared" si="7"/>
        <v>Up to 10</v>
      </c>
      <c r="P5">
        <f t="shared" si="5"/>
        <v>654.20179891028749</v>
      </c>
      <c r="Q5">
        <f t="shared" si="6"/>
        <v>-1.2917989102875254</v>
      </c>
    </row>
    <row r="6" spans="1:17" x14ac:dyDescent="0.3">
      <c r="A6" s="3" t="s">
        <v>28</v>
      </c>
      <c r="B6" t="s">
        <v>29</v>
      </c>
      <c r="C6">
        <v>1.37</v>
      </c>
      <c r="D6">
        <v>84979941132</v>
      </c>
      <c r="E6">
        <v>1470380370</v>
      </c>
      <c r="F6">
        <v>0.25681999999999999</v>
      </c>
      <c r="G6">
        <v>61829045420</v>
      </c>
      <c r="H6">
        <v>-0.3644693030301106</v>
      </c>
      <c r="I6">
        <v>-4.1430433482969358</v>
      </c>
      <c r="J6" t="str">
        <f t="shared" si="0"/>
        <v>X</v>
      </c>
      <c r="K6" t="b">
        <f t="shared" si="1"/>
        <v>0</v>
      </c>
      <c r="L6" t="str">
        <f t="shared" si="2"/>
        <v>0.5-5</v>
      </c>
      <c r="M6">
        <f t="shared" si="3"/>
        <v>20609681805.164162</v>
      </c>
      <c r="N6" t="str">
        <f t="shared" si="4"/>
        <v>0-50</v>
      </c>
      <c r="O6" t="str">
        <f t="shared" si="7"/>
        <v>&gt;=10</v>
      </c>
      <c r="P6">
        <f t="shared" si="5"/>
        <v>1.3750114948117242</v>
      </c>
      <c r="Q6">
        <f t="shared" si="6"/>
        <v>-5.0114948117241376E-3</v>
      </c>
    </row>
    <row r="7" spans="1:17" x14ac:dyDescent="0.3">
      <c r="A7" s="3" t="s">
        <v>30</v>
      </c>
      <c r="B7" t="s">
        <v>31</v>
      </c>
      <c r="C7">
        <v>0.99968699999999999</v>
      </c>
      <c r="D7">
        <v>76175765204</v>
      </c>
      <c r="E7">
        <v>12637332810</v>
      </c>
      <c r="F7">
        <v>-3.7499999999999999E-3</v>
      </c>
      <c r="G7">
        <v>76198413148.080017</v>
      </c>
      <c r="H7">
        <v>-5.64363787272031E-4</v>
      </c>
      <c r="I7">
        <v>-1.6003052324647926E-3</v>
      </c>
      <c r="J7" t="str">
        <f t="shared" si="0"/>
        <v>U</v>
      </c>
      <c r="K7" t="b">
        <f t="shared" si="1"/>
        <v>1</v>
      </c>
      <c r="L7" t="str">
        <f t="shared" si="2"/>
        <v>0.5-5</v>
      </c>
      <c r="M7">
        <f t="shared" si="3"/>
        <v>25399471049.359283</v>
      </c>
      <c r="N7" t="str">
        <f t="shared" si="4"/>
        <v>0-50</v>
      </c>
      <c r="O7" t="str">
        <f t="shared" si="7"/>
        <v>Up to 10</v>
      </c>
      <c r="P7">
        <f t="shared" si="5"/>
        <v>0.99969264190325491</v>
      </c>
      <c r="Q7">
        <f t="shared" si="6"/>
        <v>-5.6419032549159809E-6</v>
      </c>
    </row>
    <row r="8" spans="1:17" x14ac:dyDescent="0.3">
      <c r="A8" s="3" t="s">
        <v>32</v>
      </c>
      <c r="B8" t="s">
        <v>33</v>
      </c>
      <c r="C8">
        <v>86.45</v>
      </c>
      <c r="D8">
        <v>49959119159</v>
      </c>
      <c r="E8">
        <v>3111805213</v>
      </c>
      <c r="F8">
        <v>1.8313600000000001</v>
      </c>
      <c r="G8">
        <v>577862068.72740972</v>
      </c>
      <c r="H8">
        <v>-0.31254002498921779</v>
      </c>
      <c r="I8">
        <v>-5.0537460497648681</v>
      </c>
      <c r="J8" t="str">
        <f t="shared" si="0"/>
        <v>S</v>
      </c>
      <c r="K8" t="b">
        <f t="shared" si="1"/>
        <v>0</v>
      </c>
      <c r="L8" t="str">
        <f t="shared" si="2"/>
        <v>&gt;50</v>
      </c>
      <c r="M8">
        <f t="shared" si="3"/>
        <v>192620687.78704119</v>
      </c>
      <c r="N8" t="str">
        <f t="shared" si="4"/>
        <v>&gt;50</v>
      </c>
      <c r="O8" t="str">
        <f t="shared" si="7"/>
        <v>Up to 10</v>
      </c>
      <c r="P8">
        <f t="shared" si="5"/>
        <v>86.721037953691379</v>
      </c>
      <c r="Q8">
        <f t="shared" si="6"/>
        <v>-0.27103795369137629</v>
      </c>
    </row>
    <row r="9" spans="1:17" x14ac:dyDescent="0.3">
      <c r="A9" s="3" t="s">
        <v>34</v>
      </c>
      <c r="B9" t="s">
        <v>35</v>
      </c>
      <c r="C9">
        <v>0.36092299999999999</v>
      </c>
      <c r="D9">
        <v>34215005797</v>
      </c>
      <c r="E9">
        <v>515229030</v>
      </c>
      <c r="F9">
        <v>1.20871</v>
      </c>
      <c r="G9">
        <v>94804052384.574402</v>
      </c>
      <c r="H9">
        <v>0.39567427417631823</v>
      </c>
      <c r="I9">
        <v>2.6047322055623945</v>
      </c>
      <c r="J9" t="str">
        <f t="shared" si="0"/>
        <v>T</v>
      </c>
      <c r="K9" t="b">
        <f t="shared" si="1"/>
        <v>0</v>
      </c>
      <c r="L9" t="str">
        <f t="shared" si="2"/>
        <v>0.05-0.5</v>
      </c>
      <c r="M9">
        <f t="shared" si="3"/>
        <v>31601350795.858273</v>
      </c>
      <c r="N9" t="str">
        <f t="shared" si="4"/>
        <v>0-50</v>
      </c>
      <c r="O9" t="str">
        <f t="shared" si="7"/>
        <v>&gt;=10</v>
      </c>
      <c r="P9">
        <f t="shared" si="5"/>
        <v>0.35950054881282495</v>
      </c>
      <c r="Q9">
        <f t="shared" si="6"/>
        <v>1.4224511871750445E-3</v>
      </c>
    </row>
    <row r="10" spans="1:17" ht="28.8" x14ac:dyDescent="0.3">
      <c r="A10" s="3" t="s">
        <v>36</v>
      </c>
      <c r="B10" t="s">
        <v>37</v>
      </c>
      <c r="C10">
        <v>1.0349999999999999</v>
      </c>
      <c r="D10">
        <v>18595367647</v>
      </c>
      <c r="E10">
        <v>21994349</v>
      </c>
      <c r="F10">
        <v>0.28842000000000001</v>
      </c>
      <c r="G10">
        <v>17963209954.466999</v>
      </c>
      <c r="I10">
        <v>0.15266824030407483</v>
      </c>
      <c r="J10" t="str">
        <f t="shared" si="0"/>
        <v>F</v>
      </c>
      <c r="K10" t="b">
        <f t="shared" si="1"/>
        <v>0</v>
      </c>
      <c r="L10" t="str">
        <f t="shared" si="2"/>
        <v>0.5-5</v>
      </c>
      <c r="M10">
        <f t="shared" si="3"/>
        <v>8981604977.3098335</v>
      </c>
      <c r="N10" t="str">
        <f t="shared" si="4"/>
        <v>0-50</v>
      </c>
      <c r="O10" t="str">
        <f t="shared" si="7"/>
        <v>Up to 10</v>
      </c>
      <c r="P10">
        <f t="shared" si="5"/>
        <v>1.0349999999999999</v>
      </c>
      <c r="Q10">
        <f t="shared" si="6"/>
        <v>0</v>
      </c>
    </row>
    <row r="11" spans="1:17" x14ac:dyDescent="0.3">
      <c r="A11" s="3" t="s">
        <v>38</v>
      </c>
      <c r="B11" t="s">
        <v>39</v>
      </c>
      <c r="C11">
        <v>0.10519299999999999</v>
      </c>
      <c r="D11">
        <v>16230432513</v>
      </c>
      <c r="E11">
        <v>690699522</v>
      </c>
      <c r="F11">
        <v>1.5492300000000001</v>
      </c>
      <c r="G11">
        <v>154326586383.7052</v>
      </c>
      <c r="H11">
        <v>-0.46872006955437379</v>
      </c>
      <c r="I11">
        <v>-7.7199288742425418</v>
      </c>
      <c r="J11" t="str">
        <f t="shared" si="0"/>
        <v>D</v>
      </c>
      <c r="K11" t="b">
        <f t="shared" si="1"/>
        <v>1</v>
      </c>
      <c r="L11" t="str">
        <f t="shared" si="2"/>
        <v>0.05-0.5</v>
      </c>
      <c r="M11">
        <f t="shared" si="3"/>
        <v>51442195458.505516</v>
      </c>
      <c r="N11" t="str">
        <f t="shared" si="4"/>
        <v>0-50</v>
      </c>
      <c r="O11" t="str">
        <f t="shared" si="7"/>
        <v>Up to 10</v>
      </c>
      <c r="P11">
        <f t="shared" si="5"/>
        <v>0.1056883826607182</v>
      </c>
      <c r="Q11">
        <f t="shared" si="6"/>
        <v>-4.9538266071820491E-4</v>
      </c>
    </row>
    <row r="12" spans="1:17" x14ac:dyDescent="0.3">
      <c r="A12" s="3" t="s">
        <v>40</v>
      </c>
      <c r="B12" t="s">
        <v>41</v>
      </c>
      <c r="C12">
        <v>58.51</v>
      </c>
      <c r="D12">
        <v>13947374086</v>
      </c>
      <c r="E12">
        <v>1363799400</v>
      </c>
      <c r="F12">
        <v>19.842790000000001</v>
      </c>
      <c r="G12">
        <v>238385315.95414141</v>
      </c>
      <c r="H12">
        <v>-1.3318135406100259E-2</v>
      </c>
      <c r="I12">
        <v>49.695164804451998</v>
      </c>
      <c r="J12" t="str">
        <f t="shared" si="0"/>
        <v>H</v>
      </c>
      <c r="K12" t="b">
        <f t="shared" si="1"/>
        <v>0</v>
      </c>
      <c r="L12" t="str">
        <f t="shared" si="2"/>
        <v>&gt;50</v>
      </c>
      <c r="M12">
        <f t="shared" si="3"/>
        <v>79461788.545329362</v>
      </c>
      <c r="N12" t="str">
        <f t="shared" si="4"/>
        <v>&gt;50</v>
      </c>
      <c r="O12" t="str">
        <f t="shared" si="7"/>
        <v>Up to 10</v>
      </c>
      <c r="P12">
        <f t="shared" si="5"/>
        <v>58.517793478972195</v>
      </c>
      <c r="Q12">
        <f t="shared" si="6"/>
        <v>-7.7934789721965103E-3</v>
      </c>
    </row>
    <row r="13" spans="1:17" x14ac:dyDescent="0.3">
      <c r="A13" s="3" t="s">
        <v>42</v>
      </c>
      <c r="B13" t="s">
        <v>43</v>
      </c>
      <c r="C13">
        <v>57.18</v>
      </c>
      <c r="D13">
        <v>12170714508</v>
      </c>
      <c r="E13">
        <v>39478346</v>
      </c>
      <c r="F13">
        <v>8.9389999999999997E-2</v>
      </c>
      <c r="G13">
        <v>212858550</v>
      </c>
      <c r="H13">
        <v>-0.24685902293482925</v>
      </c>
      <c r="I13">
        <v>-2.6285246538914002</v>
      </c>
      <c r="J13" t="str">
        <f t="shared" si="0"/>
        <v>W</v>
      </c>
      <c r="K13" t="b">
        <f t="shared" si="1"/>
        <v>0</v>
      </c>
      <c r="L13" t="str">
        <f t="shared" si="2"/>
        <v>&gt;50</v>
      </c>
      <c r="M13">
        <f t="shared" si="3"/>
        <v>70952849.041538775</v>
      </c>
      <c r="N13" t="str">
        <f t="shared" si="4"/>
        <v>&gt;50</v>
      </c>
      <c r="O13" t="str">
        <f t="shared" si="7"/>
        <v>&gt;=10</v>
      </c>
      <c r="P13">
        <f t="shared" si="5"/>
        <v>57.321503302985306</v>
      </c>
      <c r="Q13">
        <f t="shared" si="6"/>
        <v>-0.14150330298530633</v>
      </c>
    </row>
    <row r="14" spans="1:17" x14ac:dyDescent="0.3">
      <c r="A14" s="3" t="s">
        <v>44</v>
      </c>
      <c r="B14" t="s">
        <v>45</v>
      </c>
      <c r="C14">
        <v>665.49</v>
      </c>
      <c r="D14">
        <v>11108254786</v>
      </c>
      <c r="E14">
        <v>1133038170</v>
      </c>
      <c r="F14">
        <v>13.32569</v>
      </c>
      <c r="G14">
        <v>16688225.1655448</v>
      </c>
      <c r="H14">
        <v>-9.4046672616777696E-2</v>
      </c>
      <c r="I14">
        <v>26.535394257960355</v>
      </c>
      <c r="J14" t="str">
        <f t="shared" si="0"/>
        <v>Z</v>
      </c>
      <c r="K14" t="b">
        <f t="shared" si="1"/>
        <v>0</v>
      </c>
      <c r="L14" t="str">
        <f t="shared" si="2"/>
        <v>&gt;50</v>
      </c>
      <c r="M14">
        <f t="shared" si="3"/>
        <v>5562750.5356307952</v>
      </c>
      <c r="N14" t="str">
        <f t="shared" si="4"/>
        <v>&gt;50</v>
      </c>
      <c r="O14" t="str">
        <f t="shared" si="7"/>
        <v>&gt;=10</v>
      </c>
      <c r="P14">
        <f t="shared" si="5"/>
        <v>666.11646036672755</v>
      </c>
      <c r="Q14">
        <f t="shared" si="6"/>
        <v>-0.62646036672754235</v>
      </c>
    </row>
    <row r="15" spans="1:17" x14ac:dyDescent="0.3">
      <c r="A15" s="3" t="s">
        <v>46</v>
      </c>
      <c r="B15" t="s">
        <v>47</v>
      </c>
      <c r="C15">
        <v>0.99964600000000003</v>
      </c>
      <c r="D15">
        <v>10712269912</v>
      </c>
      <c r="E15">
        <v>5045202</v>
      </c>
      <c r="F15">
        <v>5.0600000000000003E-3</v>
      </c>
      <c r="G15">
        <v>10715847313.454901</v>
      </c>
      <c r="H15">
        <v>2.6770289844031442E-3</v>
      </c>
      <c r="I15">
        <v>-2.4320300565846963E-2</v>
      </c>
      <c r="J15" t="str">
        <f t="shared" si="0"/>
        <v>U</v>
      </c>
      <c r="K15" t="b">
        <f t="shared" si="1"/>
        <v>1</v>
      </c>
      <c r="L15" t="str">
        <f t="shared" si="2"/>
        <v>0.5-5</v>
      </c>
      <c r="M15">
        <f t="shared" si="3"/>
        <v>3571949104.4777527</v>
      </c>
      <c r="N15" t="str">
        <f t="shared" si="4"/>
        <v>0-50</v>
      </c>
      <c r="O15" t="str">
        <f t="shared" si="7"/>
        <v>&gt;=10</v>
      </c>
      <c r="P15">
        <f t="shared" si="5"/>
        <v>0.99961923990321422</v>
      </c>
      <c r="Q15">
        <f t="shared" si="6"/>
        <v>2.6760096785816145E-5</v>
      </c>
    </row>
    <row r="16" spans="1:17" x14ac:dyDescent="0.3">
      <c r="A16" s="3" t="s">
        <v>48</v>
      </c>
      <c r="B16" t="s">
        <v>49</v>
      </c>
      <c r="C16">
        <v>10.06</v>
      </c>
      <c r="D16">
        <v>9263575427</v>
      </c>
      <c r="E16">
        <v>608974</v>
      </c>
      <c r="F16">
        <v>0.19786000000000001</v>
      </c>
      <c r="G16">
        <v>920578240.89999998</v>
      </c>
      <c r="H16">
        <v>-0.23917070692341913</v>
      </c>
      <c r="I16">
        <v>-0.71973090489243552</v>
      </c>
      <c r="J16" t="str">
        <f t="shared" si="0"/>
        <v>L</v>
      </c>
      <c r="K16" t="b">
        <f t="shared" si="1"/>
        <v>0</v>
      </c>
      <c r="L16" t="str">
        <f t="shared" si="2"/>
        <v>5-50</v>
      </c>
      <c r="M16">
        <f t="shared" si="3"/>
        <v>306859413.31369948</v>
      </c>
      <c r="N16" t="str">
        <f t="shared" si="4"/>
        <v>0-50</v>
      </c>
      <c r="O16" t="str">
        <f t="shared" si="7"/>
        <v>Up to 10</v>
      </c>
      <c r="P16">
        <f t="shared" si="5"/>
        <v>10.084118256922075</v>
      </c>
      <c r="Q16">
        <f t="shared" si="6"/>
        <v>-2.4118256922074366E-2</v>
      </c>
    </row>
    <row r="17" spans="1:17" x14ac:dyDescent="0.3">
      <c r="A17" s="3" t="s">
        <v>50</v>
      </c>
      <c r="B17" t="s">
        <v>51</v>
      </c>
      <c r="C17">
        <v>0.24875900000000001</v>
      </c>
      <c r="D17">
        <v>9203257550</v>
      </c>
      <c r="E17">
        <v>336057058</v>
      </c>
      <c r="F17">
        <v>-0.13300000000000001</v>
      </c>
      <c r="G17">
        <v>37001084154.715309</v>
      </c>
      <c r="H17">
        <v>-0.29343451903324225</v>
      </c>
      <c r="I17">
        <v>-6.1145290019070497</v>
      </c>
      <c r="J17" t="str">
        <f t="shared" si="0"/>
        <v>C</v>
      </c>
      <c r="K17" t="b">
        <f t="shared" si="1"/>
        <v>1</v>
      </c>
      <c r="L17" t="str">
        <f t="shared" si="2"/>
        <v>0.05-0.5</v>
      </c>
      <c r="M17">
        <f t="shared" si="3"/>
        <v>12333694716.102448</v>
      </c>
      <c r="N17" t="str">
        <f t="shared" si="4"/>
        <v>0-50</v>
      </c>
      <c r="O17" t="str">
        <f t="shared" si="7"/>
        <v>&gt;=10</v>
      </c>
      <c r="P17">
        <f t="shared" si="5"/>
        <v>0.24949109298874231</v>
      </c>
      <c r="Q17">
        <f t="shared" si="6"/>
        <v>-7.320929887423E-4</v>
      </c>
    </row>
    <row r="18" spans="1:17" x14ac:dyDescent="0.3">
      <c r="A18" s="3" t="s">
        <v>52</v>
      </c>
      <c r="B18" t="s">
        <v>53</v>
      </c>
      <c r="C18">
        <v>376.18</v>
      </c>
      <c r="D18">
        <v>7538216142</v>
      </c>
      <c r="E18">
        <v>374857426</v>
      </c>
      <c r="F18">
        <v>1.87476</v>
      </c>
      <c r="G18">
        <v>20037246.77165078</v>
      </c>
      <c r="H18">
        <v>-0.17884023367537646</v>
      </c>
      <c r="I18">
        <v>-13.292683780606673</v>
      </c>
      <c r="J18" t="str">
        <f t="shared" si="0"/>
        <v>B</v>
      </c>
      <c r="K18" t="b">
        <f t="shared" si="1"/>
        <v>1</v>
      </c>
      <c r="L18" t="str">
        <f t="shared" si="2"/>
        <v>&gt;50</v>
      </c>
      <c r="M18">
        <f t="shared" si="3"/>
        <v>6679077.7667089216</v>
      </c>
      <c r="N18" t="str">
        <f t="shared" si="4"/>
        <v>&gt;50</v>
      </c>
      <c r="O18" t="str">
        <f t="shared" si="7"/>
        <v>Up to 10</v>
      </c>
      <c r="P18">
        <f t="shared" si="5"/>
        <v>376.85396651432916</v>
      </c>
      <c r="Q18">
        <f t="shared" si="6"/>
        <v>-0.67396651432915178</v>
      </c>
    </row>
    <row r="19" spans="1:17" x14ac:dyDescent="0.3">
      <c r="A19" s="3" t="s">
        <v>54</v>
      </c>
      <c r="B19" t="s">
        <v>55</v>
      </c>
      <c r="C19">
        <v>402.63</v>
      </c>
      <c r="D19">
        <v>7424363923</v>
      </c>
      <c r="E19">
        <v>162041670</v>
      </c>
      <c r="F19">
        <v>1.17431</v>
      </c>
      <c r="G19">
        <v>18446744.073709551</v>
      </c>
      <c r="H19">
        <v>-0.35748960128909968</v>
      </c>
      <c r="I19">
        <v>1.9649242091725676</v>
      </c>
      <c r="J19" t="str">
        <f t="shared" si="0"/>
        <v>M</v>
      </c>
      <c r="K19" t="b">
        <f t="shared" si="1"/>
        <v>0</v>
      </c>
      <c r="L19" t="str">
        <f t="shared" si="2"/>
        <v>&gt;50</v>
      </c>
      <c r="M19">
        <f t="shared" si="3"/>
        <v>6148915.2270480534</v>
      </c>
      <c r="N19" t="str">
        <f t="shared" si="4"/>
        <v>&gt;50</v>
      </c>
      <c r="O19" t="str">
        <f t="shared" si="7"/>
        <v>&gt;=10</v>
      </c>
      <c r="P19">
        <f t="shared" si="5"/>
        <v>404.07452440621057</v>
      </c>
      <c r="Q19">
        <f t="shared" si="6"/>
        <v>-1.4445244062105758</v>
      </c>
    </row>
    <row r="20" spans="1:17" x14ac:dyDescent="0.3">
      <c r="A20" s="3" t="s">
        <v>56</v>
      </c>
      <c r="B20" t="s">
        <v>57</v>
      </c>
      <c r="C20">
        <v>9.6199999999999992</v>
      </c>
      <c r="D20">
        <v>6989035905</v>
      </c>
      <c r="E20">
        <v>299620032</v>
      </c>
      <c r="F20">
        <v>0.27684999999999998</v>
      </c>
      <c r="G20">
        <v>727099970.42554772</v>
      </c>
      <c r="H20">
        <v>-0.76263507813969977</v>
      </c>
      <c r="I20">
        <v>-6.3668807713147046</v>
      </c>
      <c r="J20" t="str">
        <f t="shared" si="0"/>
        <v>C</v>
      </c>
      <c r="K20" t="b">
        <f t="shared" si="1"/>
        <v>1</v>
      </c>
      <c r="L20" t="str">
        <f t="shared" si="2"/>
        <v>5-50</v>
      </c>
      <c r="M20">
        <f t="shared" si="3"/>
        <v>242366654.43201062</v>
      </c>
      <c r="N20" t="str">
        <f t="shared" si="4"/>
        <v>0-50</v>
      </c>
      <c r="O20" t="str">
        <f t="shared" si="7"/>
        <v>&gt;=10</v>
      </c>
      <c r="P20">
        <f t="shared" si="5"/>
        <v>9.6939293053325279</v>
      </c>
      <c r="Q20">
        <f t="shared" si="6"/>
        <v>-7.3929305332528727E-2</v>
      </c>
    </row>
    <row r="21" spans="1:17" x14ac:dyDescent="0.3">
      <c r="A21" s="3" t="s">
        <v>58</v>
      </c>
      <c r="B21" t="s">
        <v>59</v>
      </c>
      <c r="C21">
        <v>0.15551100000000001</v>
      </c>
      <c r="D21">
        <v>5995528680</v>
      </c>
      <c r="E21">
        <v>10426205</v>
      </c>
      <c r="F21">
        <v>4.1122899999999998</v>
      </c>
      <c r="G21">
        <v>38582169190.185722</v>
      </c>
      <c r="H21">
        <v>0.90759973187467158</v>
      </c>
      <c r="I21">
        <v>-1.4206524132835012</v>
      </c>
      <c r="J21" t="str">
        <f t="shared" si="0"/>
        <v>C</v>
      </c>
      <c r="K21" t="b">
        <f t="shared" si="1"/>
        <v>1</v>
      </c>
      <c r="L21" t="str">
        <f t="shared" si="2"/>
        <v>0.05-0.5</v>
      </c>
      <c r="M21">
        <f t="shared" si="3"/>
        <v>12860723063.224222</v>
      </c>
      <c r="N21" t="str">
        <f t="shared" si="4"/>
        <v>0-50</v>
      </c>
      <c r="O21" t="str">
        <f t="shared" si="7"/>
        <v>Up to 10</v>
      </c>
      <c r="P21">
        <f t="shared" si="5"/>
        <v>0.1541122773836798</v>
      </c>
      <c r="Q21">
        <f t="shared" si="6"/>
        <v>1.3987226163202082E-3</v>
      </c>
    </row>
    <row r="22" spans="1:17" x14ac:dyDescent="0.3">
      <c r="A22" s="3" t="s">
        <v>60</v>
      </c>
      <c r="B22" t="s">
        <v>61</v>
      </c>
      <c r="C22">
        <v>2.04</v>
      </c>
      <c r="D22">
        <v>5478469758</v>
      </c>
      <c r="E22">
        <v>342531714</v>
      </c>
      <c r="F22">
        <v>4.1837299999999997</v>
      </c>
      <c r="G22">
        <v>2692509486.4343681</v>
      </c>
      <c r="H22">
        <v>-0.84319713447796596</v>
      </c>
      <c r="I22">
        <v>-4.1933967248617057</v>
      </c>
      <c r="J22" t="str">
        <f t="shared" si="0"/>
        <v>T</v>
      </c>
      <c r="K22" t="b">
        <f t="shared" si="1"/>
        <v>0</v>
      </c>
      <c r="L22" t="str">
        <f t="shared" si="2"/>
        <v>0.5-5</v>
      </c>
      <c r="M22">
        <f t="shared" si="3"/>
        <v>897503160.46592474</v>
      </c>
      <c r="N22" t="str">
        <f t="shared" si="4"/>
        <v>0-50</v>
      </c>
      <c r="O22" t="str">
        <f t="shared" si="7"/>
        <v>Up to 10</v>
      </c>
      <c r="P22">
        <f t="shared" si="5"/>
        <v>2.0573474951251494</v>
      </c>
      <c r="Q22">
        <f t="shared" si="6"/>
        <v>-1.7347495125149326E-2</v>
      </c>
    </row>
    <row r="23" spans="1:17" x14ac:dyDescent="0.3">
      <c r="A23" s="3" t="s">
        <v>62</v>
      </c>
      <c r="B23" t="s">
        <v>63</v>
      </c>
      <c r="C23">
        <v>0.144819</v>
      </c>
      <c r="D23">
        <v>4853013681</v>
      </c>
      <c r="E23">
        <v>86499611</v>
      </c>
      <c r="F23">
        <v>1.5304199999999999</v>
      </c>
      <c r="G23">
        <v>33521234417.573471</v>
      </c>
      <c r="H23">
        <v>-0.58548653793091465</v>
      </c>
      <c r="I23">
        <v>-9.0729778300134019</v>
      </c>
      <c r="J23" t="str">
        <f t="shared" si="0"/>
        <v>S</v>
      </c>
      <c r="K23" t="b">
        <f t="shared" si="1"/>
        <v>0</v>
      </c>
      <c r="L23" t="str">
        <f t="shared" si="2"/>
        <v>0.05-0.5</v>
      </c>
      <c r="M23">
        <f t="shared" si="3"/>
        <v>11173744802.638334</v>
      </c>
      <c r="N23" t="str">
        <f t="shared" si="4"/>
        <v>0-50</v>
      </c>
      <c r="O23" t="str">
        <f t="shared" si="7"/>
        <v>Up to 10</v>
      </c>
      <c r="P23">
        <f t="shared" si="5"/>
        <v>0.14567188930140937</v>
      </c>
      <c r="Q23">
        <f t="shared" si="6"/>
        <v>-8.5288930140936525E-4</v>
      </c>
    </row>
    <row r="24" spans="1:17" x14ac:dyDescent="0.3">
      <c r="A24" s="3" t="s">
        <v>64</v>
      </c>
      <c r="B24" t="s">
        <v>65</v>
      </c>
      <c r="C24">
        <v>0.99992000000000003</v>
      </c>
      <c r="D24">
        <v>4670209950</v>
      </c>
      <c r="E24">
        <v>2185445563</v>
      </c>
      <c r="F24">
        <v>3.0000000000000001E-5</v>
      </c>
      <c r="G24">
        <v>4670526932.3875847</v>
      </c>
      <c r="H24">
        <v>1.1011117154098476E-3</v>
      </c>
      <c r="I24">
        <v>5.9678160215982982E-2</v>
      </c>
      <c r="J24" t="str">
        <f t="shared" si="0"/>
        <v>U</v>
      </c>
      <c r="K24" t="b">
        <f t="shared" si="1"/>
        <v>1</v>
      </c>
      <c r="L24" t="str">
        <f t="shared" si="2"/>
        <v>0.5-5</v>
      </c>
      <c r="M24">
        <f t="shared" si="3"/>
        <v>1556842310.8161213</v>
      </c>
      <c r="N24" t="str">
        <f t="shared" si="4"/>
        <v>0-50</v>
      </c>
      <c r="O24" t="str">
        <f t="shared" si="7"/>
        <v>Up to 10</v>
      </c>
      <c r="P24">
        <f t="shared" si="5"/>
        <v>0.99990898988496901</v>
      </c>
      <c r="Q24">
        <f t="shared" si="6"/>
        <v>1.1010115031018231E-5</v>
      </c>
    </row>
    <row r="25" spans="1:17" x14ac:dyDescent="0.3">
      <c r="A25" s="3" t="s">
        <v>68</v>
      </c>
      <c r="B25" t="s">
        <v>69</v>
      </c>
      <c r="C25">
        <v>0.99930799999999997</v>
      </c>
      <c r="D25">
        <v>4441849712</v>
      </c>
      <c r="E25">
        <v>57987782</v>
      </c>
      <c r="F25">
        <v>-1.5900000000000001E-2</v>
      </c>
      <c r="G25">
        <v>4445300708.1920414</v>
      </c>
      <c r="H25">
        <v>-2.3653087844086539E-3</v>
      </c>
      <c r="I25">
        <v>-9.3638872835028919E-2</v>
      </c>
      <c r="J25" t="str">
        <f t="shared" si="0"/>
        <v>E</v>
      </c>
      <c r="K25" t="b">
        <f t="shared" si="1"/>
        <v>1</v>
      </c>
      <c r="L25" t="str">
        <f t="shared" si="2"/>
        <v>0.5-5</v>
      </c>
      <c r="M25">
        <f t="shared" si="3"/>
        <v>1481766902.6986792</v>
      </c>
      <c r="N25" t="str">
        <f t="shared" si="4"/>
        <v>0-50</v>
      </c>
      <c r="O25" t="str">
        <f t="shared" si="7"/>
        <v>Up to 10</v>
      </c>
      <c r="P25">
        <f t="shared" si="5"/>
        <v>0.99933163727900198</v>
      </c>
      <c r="Q25">
        <f t="shared" si="6"/>
        <v>-2.363727900200896E-5</v>
      </c>
    </row>
    <row r="26" spans="1:17" x14ac:dyDescent="0.3">
      <c r="A26" s="3" t="s">
        <v>66</v>
      </c>
      <c r="B26" t="s">
        <v>67</v>
      </c>
      <c r="C26">
        <v>1.1100000000000001</v>
      </c>
      <c r="D26">
        <v>4438668582</v>
      </c>
      <c r="E26">
        <v>768028698</v>
      </c>
      <c r="F26">
        <v>4.5434099999999997</v>
      </c>
      <c r="G26">
        <v>4005418369.566699</v>
      </c>
      <c r="H26">
        <v>-1.5169068696385468</v>
      </c>
      <c r="I26">
        <v>-7.1601519320704128</v>
      </c>
      <c r="J26" t="str">
        <f t="shared" si="0"/>
        <v>S</v>
      </c>
      <c r="K26" t="b">
        <f t="shared" si="1"/>
        <v>0</v>
      </c>
      <c r="L26" t="str">
        <f t="shared" si="2"/>
        <v>0.5-5</v>
      </c>
      <c r="M26">
        <f t="shared" si="3"/>
        <v>1335139453.6298802</v>
      </c>
      <c r="N26" t="str">
        <f t="shared" si="4"/>
        <v>0-50</v>
      </c>
      <c r="O26" t="str">
        <f t="shared" si="7"/>
        <v>Up to 10</v>
      </c>
      <c r="P26">
        <f t="shared" si="5"/>
        <v>1.1270970120025576</v>
      </c>
      <c r="Q26">
        <f t="shared" si="6"/>
        <v>-1.7097012002557532E-2</v>
      </c>
    </row>
    <row r="27" spans="1:17" x14ac:dyDescent="0.3">
      <c r="A27" s="3" t="s">
        <v>70</v>
      </c>
      <c r="B27" t="s">
        <v>71</v>
      </c>
      <c r="C27">
        <v>0.99981900000000001</v>
      </c>
      <c r="D27">
        <v>4351982961</v>
      </c>
      <c r="E27">
        <v>205494148</v>
      </c>
      <c r="F27">
        <v>1.8280000000000001E-2</v>
      </c>
      <c r="G27">
        <v>4352768249.8514957</v>
      </c>
      <c r="H27">
        <v>8.3625673943511487E-4</v>
      </c>
      <c r="I27">
        <v>2.9514382424712448E-2</v>
      </c>
      <c r="J27" t="str">
        <f t="shared" si="0"/>
        <v>D</v>
      </c>
      <c r="K27" t="b">
        <f t="shared" si="1"/>
        <v>1</v>
      </c>
      <c r="L27" t="str">
        <f t="shared" si="2"/>
        <v>0.5-5</v>
      </c>
      <c r="M27">
        <f t="shared" si="3"/>
        <v>1450922749.9606154</v>
      </c>
      <c r="N27" t="str">
        <f t="shared" si="4"/>
        <v>0-50</v>
      </c>
      <c r="O27" t="str">
        <f t="shared" si="7"/>
        <v>Up to 10</v>
      </c>
      <c r="P27">
        <f t="shared" si="5"/>
        <v>0.99981063901614964</v>
      </c>
      <c r="Q27">
        <f t="shared" si="6"/>
        <v>8.3609838503750922E-6</v>
      </c>
    </row>
    <row r="28" spans="1:17" x14ac:dyDescent="0.3">
      <c r="A28" s="3" t="s">
        <v>72</v>
      </c>
      <c r="B28" t="s">
        <v>73</v>
      </c>
      <c r="C28">
        <v>54.03</v>
      </c>
      <c r="D28">
        <v>4171507646</v>
      </c>
      <c r="E28">
        <v>225286543</v>
      </c>
      <c r="F28">
        <v>-9.3060000000000004E-2</v>
      </c>
      <c r="G28">
        <v>77186520.733471349</v>
      </c>
      <c r="H28">
        <v>-0.62285887553227504</v>
      </c>
      <c r="I28">
        <v>-5.3993416501327403</v>
      </c>
      <c r="J28" t="str">
        <f t="shared" si="0"/>
        <v>L</v>
      </c>
      <c r="K28" t="b">
        <f t="shared" si="1"/>
        <v>0</v>
      </c>
      <c r="L28" t="str">
        <f t="shared" si="2"/>
        <v>&gt;50</v>
      </c>
      <c r="M28">
        <f t="shared" si="3"/>
        <v>25728838.237090275</v>
      </c>
      <c r="N28" t="str">
        <f t="shared" si="4"/>
        <v>&gt;50</v>
      </c>
      <c r="O28" t="str">
        <f t="shared" si="7"/>
        <v>Up to 10</v>
      </c>
      <c r="P28">
        <f t="shared" si="5"/>
        <v>54.368639899117838</v>
      </c>
      <c r="Q28">
        <f t="shared" si="6"/>
        <v>-0.33863989911783676</v>
      </c>
    </row>
    <row r="29" spans="1:17" x14ac:dyDescent="0.3">
      <c r="A29" s="3" t="s">
        <v>74</v>
      </c>
      <c r="B29" t="s">
        <v>75</v>
      </c>
      <c r="C29">
        <v>9.4</v>
      </c>
      <c r="D29">
        <v>4055847507</v>
      </c>
      <c r="E29">
        <v>206722819</v>
      </c>
      <c r="F29">
        <v>2.0732599999999999</v>
      </c>
      <c r="G29">
        <v>431771961.17721188</v>
      </c>
      <c r="H29">
        <v>-0.5270701326194368</v>
      </c>
      <c r="I29">
        <v>-3.1470069290993865</v>
      </c>
      <c r="J29" t="str">
        <f t="shared" si="0"/>
        <v>A</v>
      </c>
      <c r="K29" t="b">
        <f t="shared" si="1"/>
        <v>1</v>
      </c>
      <c r="L29" t="str">
        <f t="shared" si="2"/>
        <v>5-50</v>
      </c>
      <c r="M29">
        <f t="shared" si="3"/>
        <v>143923985.83437827</v>
      </c>
      <c r="N29" t="str">
        <f t="shared" si="4"/>
        <v>0-50</v>
      </c>
      <c r="O29" t="str">
        <f t="shared" si="7"/>
        <v>&gt;=10</v>
      </c>
      <c r="P29">
        <f t="shared" si="5"/>
        <v>9.4498071108715518</v>
      </c>
      <c r="Q29">
        <f t="shared" si="6"/>
        <v>-4.980711087155143E-2</v>
      </c>
    </row>
    <row r="30" spans="1:17" x14ac:dyDescent="0.3">
      <c r="A30" s="3" t="s">
        <v>76</v>
      </c>
      <c r="B30" t="s">
        <v>77</v>
      </c>
      <c r="C30">
        <v>8.8805999999999996E-2</v>
      </c>
      <c r="D30">
        <v>3851652825</v>
      </c>
      <c r="E30">
        <v>41683137</v>
      </c>
      <c r="F30">
        <v>-0.39122000000000001</v>
      </c>
      <c r="G30">
        <v>43373490527.101768</v>
      </c>
      <c r="H30">
        <v>-0.18592621031752665</v>
      </c>
      <c r="I30">
        <v>-4.5020050111720744</v>
      </c>
      <c r="J30" t="str">
        <f t="shared" si="0"/>
        <v>H</v>
      </c>
      <c r="K30" t="b">
        <f t="shared" si="1"/>
        <v>0</v>
      </c>
      <c r="L30" t="str">
        <f t="shared" si="2"/>
        <v>0.05-0.5</v>
      </c>
      <c r="M30">
        <f t="shared" si="3"/>
        <v>14457830174.137945</v>
      </c>
      <c r="N30" t="str">
        <f t="shared" si="4"/>
        <v>0-50</v>
      </c>
      <c r="O30" t="str">
        <f t="shared" si="7"/>
        <v>Up to 10</v>
      </c>
      <c r="P30">
        <f t="shared" si="5"/>
        <v>8.8971421191687342E-2</v>
      </c>
      <c r="Q30">
        <f t="shared" si="6"/>
        <v>-1.6542119168734548E-4</v>
      </c>
    </row>
    <row r="31" spans="1:17" x14ac:dyDescent="0.3">
      <c r="A31" s="3" t="s">
        <v>78</v>
      </c>
      <c r="B31" t="s">
        <v>79</v>
      </c>
      <c r="C31">
        <v>2.84</v>
      </c>
      <c r="D31">
        <v>3698841591</v>
      </c>
      <c r="E31">
        <v>8552103</v>
      </c>
      <c r="F31">
        <v>-15.32451</v>
      </c>
      <c r="G31">
        <v>1303766294.687613</v>
      </c>
      <c r="H31">
        <v>-0.53550966207052098</v>
      </c>
      <c r="I31">
        <v>-15.498655555094864</v>
      </c>
      <c r="J31" t="str">
        <f t="shared" si="0"/>
        <v>M</v>
      </c>
      <c r="K31" t="b">
        <f t="shared" si="1"/>
        <v>0</v>
      </c>
      <c r="L31" t="str">
        <f t="shared" si="2"/>
        <v>0.5-5</v>
      </c>
      <c r="M31">
        <f t="shared" si="3"/>
        <v>434588759.55114931</v>
      </c>
      <c r="N31" t="str">
        <f t="shared" si="4"/>
        <v>0-50</v>
      </c>
      <c r="O31" t="str">
        <f t="shared" si="7"/>
        <v>Up to 10</v>
      </c>
      <c r="P31">
        <f t="shared" si="5"/>
        <v>2.855290355735129</v>
      </c>
      <c r="Q31">
        <f t="shared" si="6"/>
        <v>-1.5290355735129157E-2</v>
      </c>
    </row>
    <row r="32" spans="1:17" x14ac:dyDescent="0.3">
      <c r="A32" s="3" t="s">
        <v>80</v>
      </c>
      <c r="B32" t="s">
        <v>81</v>
      </c>
      <c r="C32">
        <v>0.99973599999999996</v>
      </c>
      <c r="D32">
        <v>3634660082</v>
      </c>
      <c r="E32">
        <v>27817967</v>
      </c>
      <c r="F32">
        <v>-8.5400000000000007E-3</v>
      </c>
      <c r="G32">
        <v>3635773224.4037209</v>
      </c>
      <c r="H32">
        <v>-7.7113846753832978E-3</v>
      </c>
      <c r="I32">
        <v>8.6002119353038777E-3</v>
      </c>
      <c r="J32" t="str">
        <f t="shared" si="0"/>
        <v>P</v>
      </c>
      <c r="K32" t="b">
        <f t="shared" si="1"/>
        <v>0</v>
      </c>
      <c r="L32" t="str">
        <f t="shared" si="2"/>
        <v>0.5-5</v>
      </c>
      <c r="M32">
        <f t="shared" si="3"/>
        <v>1211924408.1348698</v>
      </c>
      <c r="N32" t="str">
        <f t="shared" si="4"/>
        <v>0-50</v>
      </c>
      <c r="O32" t="str">
        <f t="shared" si="7"/>
        <v>Up to 10</v>
      </c>
      <c r="P32">
        <f t="shared" si="5"/>
        <v>0.99981309943413221</v>
      </c>
      <c r="Q32">
        <f t="shared" si="6"/>
        <v>-7.7099434132255062E-5</v>
      </c>
    </row>
    <row r="33" spans="1:17" x14ac:dyDescent="0.3">
      <c r="A33" s="3" t="s">
        <v>82</v>
      </c>
      <c r="B33" t="s">
        <v>83</v>
      </c>
      <c r="C33">
        <v>7.5084499999999998E-3</v>
      </c>
      <c r="D33">
        <v>3598491793</v>
      </c>
      <c r="E33">
        <v>18635430</v>
      </c>
      <c r="F33">
        <v>7.5850000000000001E-2</v>
      </c>
      <c r="G33">
        <v>479088411035.2702</v>
      </c>
      <c r="H33">
        <v>-0.4191197650307209</v>
      </c>
      <c r="I33">
        <v>-0.15384555735126018</v>
      </c>
      <c r="J33" t="str">
        <f t="shared" si="0"/>
        <v>R</v>
      </c>
      <c r="K33" t="b">
        <f t="shared" si="1"/>
        <v>0</v>
      </c>
      <c r="L33" t="str">
        <f t="shared" si="2"/>
        <v>0-0.05</v>
      </c>
      <c r="M33">
        <f t="shared" si="3"/>
        <v>159696137011.56573</v>
      </c>
      <c r="N33" t="str">
        <f t="shared" si="4"/>
        <v>0-50</v>
      </c>
      <c r="O33" t="str">
        <f t="shared" si="7"/>
        <v>Up to 10</v>
      </c>
      <c r="P33">
        <f t="shared" si="5"/>
        <v>7.5400518475868001E-3</v>
      </c>
      <c r="Q33">
        <f t="shared" si="6"/>
        <v>-3.160184758680025E-5</v>
      </c>
    </row>
    <row r="34" spans="1:17" x14ac:dyDescent="0.3">
      <c r="A34" s="3" t="s">
        <v>84</v>
      </c>
      <c r="B34" t="s">
        <v>85</v>
      </c>
      <c r="C34">
        <v>5.8000000000000004E-6</v>
      </c>
      <c r="D34">
        <v>3416409596</v>
      </c>
      <c r="E34">
        <v>59628616</v>
      </c>
      <c r="F34">
        <v>1.0641099999999999</v>
      </c>
      <c r="G34">
        <v>589243270257029.5</v>
      </c>
      <c r="H34">
        <v>-0.35139883319247217</v>
      </c>
      <c r="I34">
        <v>-7.7832922731106606</v>
      </c>
      <c r="J34" t="str">
        <f t="shared" ref="J34:J65" si="8">LEFT(B34,1)</f>
        <v>S</v>
      </c>
      <c r="K34" t="b">
        <f t="shared" ref="K34:K65" si="9">OR(J34="A",J34="E",J34="I",J34="O",J34="U",J34="B",J34="C",J34="D")</f>
        <v>0</v>
      </c>
      <c r="L34" t="str">
        <f t="shared" ref="L34:L65" si="10">IF(C34&lt;=0.05,"0-0.05",IF(C34&lt;=0.5,"0.05-0.5",IF(C34&lt;=5,"0.5-5",IF(C34&lt;=50,"5-50","&gt;50"))))</f>
        <v>0-0.05</v>
      </c>
      <c r="M34">
        <f t="shared" ref="M34:M65" si="11">ABS(AVERAGE(G34,H34,I34))</f>
        <v>196414423419007.13</v>
      </c>
      <c r="N34" t="str">
        <f t="shared" ref="N34:N65" si="12">IF(C34&lt;=50,"0-50","&gt;50")</f>
        <v>0-50</v>
      </c>
      <c r="O34" t="str">
        <f t="shared" si="7"/>
        <v>Up to 10</v>
      </c>
      <c r="P34">
        <f t="shared" ref="P34:P65" si="13">C34/(1+(H34/100))</f>
        <v>5.8204530039423702E-6</v>
      </c>
      <c r="Q34">
        <f t="shared" ref="Q34:Q65" si="14">C34-P34</f>
        <v>-2.045300394236983E-8</v>
      </c>
    </row>
    <row r="35" spans="1:17" x14ac:dyDescent="0.3">
      <c r="A35" s="3" t="s">
        <v>86</v>
      </c>
      <c r="B35" t="s">
        <v>87</v>
      </c>
      <c r="C35">
        <v>6.9209000000000007E-2</v>
      </c>
      <c r="D35">
        <v>3100530347</v>
      </c>
      <c r="E35">
        <v>9669861</v>
      </c>
      <c r="F35">
        <v>0.63295999999999997</v>
      </c>
      <c r="G35">
        <v>44782685266.139702</v>
      </c>
      <c r="H35">
        <v>-0.44028155194728957</v>
      </c>
      <c r="I35">
        <v>-6.6222142406727675</v>
      </c>
      <c r="J35" t="str">
        <f t="shared" si="8"/>
        <v>C</v>
      </c>
      <c r="K35" t="b">
        <f t="shared" si="9"/>
        <v>1</v>
      </c>
      <c r="L35" t="str">
        <f t="shared" si="10"/>
        <v>0.05-0.5</v>
      </c>
      <c r="M35">
        <f t="shared" si="11"/>
        <v>14927561753.025734</v>
      </c>
      <c r="N35" t="str">
        <f t="shared" si="12"/>
        <v>0-50</v>
      </c>
      <c r="O35" t="str">
        <f t="shared" si="7"/>
        <v>Up to 10</v>
      </c>
      <c r="P35">
        <f t="shared" si="13"/>
        <v>6.951506199378335E-2</v>
      </c>
      <c r="Q35">
        <f t="shared" si="14"/>
        <v>-3.0606199378334364E-4</v>
      </c>
    </row>
    <row r="36" spans="1:17" x14ac:dyDescent="0.3">
      <c r="A36" s="3" t="s">
        <v>88</v>
      </c>
      <c r="B36" t="s">
        <v>89</v>
      </c>
      <c r="C36">
        <v>1.1200000000000001</v>
      </c>
      <c r="D36">
        <v>2985300571</v>
      </c>
      <c r="E36">
        <v>224834</v>
      </c>
      <c r="G36">
        <v>2655561662.5436029</v>
      </c>
      <c r="I36">
        <v>0.13357663397083344</v>
      </c>
      <c r="J36" t="str">
        <f t="shared" si="8"/>
        <v>C</v>
      </c>
      <c r="K36" t="b">
        <f t="shared" si="9"/>
        <v>1</v>
      </c>
      <c r="L36" t="str">
        <f t="shared" si="10"/>
        <v>0.5-5</v>
      </c>
      <c r="M36">
        <f t="shared" si="11"/>
        <v>1327780831.3385899</v>
      </c>
      <c r="N36" t="str">
        <f t="shared" si="12"/>
        <v>0-50</v>
      </c>
      <c r="O36" t="str">
        <f t="shared" si="7"/>
        <v>Up to 10</v>
      </c>
      <c r="P36">
        <f t="shared" si="13"/>
        <v>1.1200000000000001</v>
      </c>
      <c r="Q36">
        <f t="shared" si="14"/>
        <v>0</v>
      </c>
    </row>
    <row r="37" spans="1:17" x14ac:dyDescent="0.3">
      <c r="A37" s="3" t="s">
        <v>90</v>
      </c>
      <c r="B37" t="s">
        <v>91</v>
      </c>
      <c r="C37">
        <v>283.02</v>
      </c>
      <c r="D37">
        <v>2712542501</v>
      </c>
      <c r="E37">
        <v>224803029</v>
      </c>
      <c r="F37">
        <v>7.9411100000000001</v>
      </c>
      <c r="G37">
        <v>9597491</v>
      </c>
      <c r="H37">
        <v>-1.781568348964804</v>
      </c>
      <c r="I37">
        <v>-4.4596294501491007</v>
      </c>
      <c r="J37" t="str">
        <f t="shared" si="8"/>
        <v>B</v>
      </c>
      <c r="K37" t="b">
        <f t="shared" si="9"/>
        <v>1</v>
      </c>
      <c r="L37" t="str">
        <f t="shared" si="10"/>
        <v>&gt;50</v>
      </c>
      <c r="M37">
        <f t="shared" si="11"/>
        <v>3199161.5862674005</v>
      </c>
      <c r="N37" t="str">
        <f t="shared" si="12"/>
        <v>&gt;50</v>
      </c>
      <c r="O37" t="str">
        <f t="shared" si="7"/>
        <v>Up to 10</v>
      </c>
      <c r="P37">
        <f t="shared" si="13"/>
        <v>288.15365430141952</v>
      </c>
      <c r="Q37">
        <f t="shared" si="14"/>
        <v>-5.1336543014195399</v>
      </c>
    </row>
    <row r="38" spans="1:17" x14ac:dyDescent="0.3">
      <c r="A38" s="3" t="s">
        <v>92</v>
      </c>
      <c r="B38" t="s">
        <v>93</v>
      </c>
      <c r="C38">
        <v>4522.5200000000004</v>
      </c>
      <c r="D38">
        <v>2682242903</v>
      </c>
      <c r="E38">
        <v>214678761</v>
      </c>
      <c r="F38">
        <v>0.92886000000000002</v>
      </c>
      <c r="G38">
        <v>592823.65953199996</v>
      </c>
      <c r="H38">
        <v>1.202015389017762E-2</v>
      </c>
      <c r="I38">
        <v>-3.4818058999431787</v>
      </c>
      <c r="J38" t="str">
        <f t="shared" si="8"/>
        <v>T</v>
      </c>
      <c r="K38" t="b">
        <f t="shared" si="9"/>
        <v>0</v>
      </c>
      <c r="L38" t="str">
        <f t="shared" si="10"/>
        <v>&gt;50</v>
      </c>
      <c r="M38">
        <f t="shared" si="11"/>
        <v>197606.72991541796</v>
      </c>
      <c r="N38" t="str">
        <f t="shared" si="12"/>
        <v>&gt;50</v>
      </c>
      <c r="O38" t="str">
        <f t="shared" si="7"/>
        <v>&gt;=10</v>
      </c>
      <c r="P38">
        <f t="shared" si="13"/>
        <v>4521.9764514716562</v>
      </c>
      <c r="Q38">
        <f t="shared" si="14"/>
        <v>0.54354852834421763</v>
      </c>
    </row>
    <row r="39" spans="1:17" x14ac:dyDescent="0.3">
      <c r="A39" s="3" t="s">
        <v>94</v>
      </c>
      <c r="B39" t="s">
        <v>95</v>
      </c>
      <c r="C39">
        <v>0.99975899999999995</v>
      </c>
      <c r="D39">
        <v>2678380191</v>
      </c>
      <c r="E39">
        <v>58566228</v>
      </c>
      <c r="F39">
        <v>3.0599999999999998E-3</v>
      </c>
      <c r="G39">
        <v>2679022219.0437779</v>
      </c>
      <c r="H39">
        <v>4.8599483188784334E-4</v>
      </c>
      <c r="I39">
        <v>1.8589930632178946E-2</v>
      </c>
      <c r="J39" t="str">
        <f t="shared" si="8"/>
        <v>G</v>
      </c>
      <c r="K39" t="b">
        <f t="shared" si="9"/>
        <v>0</v>
      </c>
      <c r="L39" t="str">
        <f t="shared" si="10"/>
        <v>0.5-5</v>
      </c>
      <c r="M39">
        <f t="shared" si="11"/>
        <v>893007406.35428464</v>
      </c>
      <c r="N39" t="str">
        <f t="shared" si="12"/>
        <v>0-50</v>
      </c>
      <c r="O39" t="str">
        <f t="shared" si="7"/>
        <v>&gt;=10</v>
      </c>
      <c r="P39">
        <f t="shared" si="13"/>
        <v>0.99975414124654194</v>
      </c>
      <c r="Q39">
        <f t="shared" si="14"/>
        <v>4.8587534580146752E-6</v>
      </c>
    </row>
    <row r="40" spans="1:17" x14ac:dyDescent="0.3">
      <c r="A40" s="3" t="s">
        <v>96</v>
      </c>
      <c r="B40" t="s">
        <v>97</v>
      </c>
      <c r="C40">
        <v>1</v>
      </c>
      <c r="D40">
        <v>2537560312</v>
      </c>
      <c r="E40">
        <v>0</v>
      </c>
      <c r="F40">
        <v>0</v>
      </c>
      <c r="G40">
        <v>2537560311.6504488</v>
      </c>
      <c r="H40">
        <v>0</v>
      </c>
      <c r="I40">
        <v>0</v>
      </c>
      <c r="J40" t="str">
        <f t="shared" si="8"/>
        <v>B</v>
      </c>
      <c r="K40" t="b">
        <f t="shared" si="9"/>
        <v>1</v>
      </c>
      <c r="L40" t="str">
        <f t="shared" si="10"/>
        <v>0.5-5</v>
      </c>
      <c r="M40">
        <f t="shared" si="11"/>
        <v>845853437.21681631</v>
      </c>
      <c r="N40" t="str">
        <f t="shared" si="12"/>
        <v>0-50</v>
      </c>
      <c r="O40" t="str">
        <f t="shared" si="7"/>
        <v>Up to 10</v>
      </c>
      <c r="P40">
        <f t="shared" si="13"/>
        <v>1</v>
      </c>
      <c r="Q40">
        <f t="shared" si="14"/>
        <v>0</v>
      </c>
    </row>
    <row r="41" spans="1:17" x14ac:dyDescent="0.3">
      <c r="A41" s="3" t="s">
        <v>98</v>
      </c>
      <c r="B41" t="s">
        <v>99</v>
      </c>
      <c r="C41">
        <v>3.62</v>
      </c>
      <c r="D41">
        <v>2304070208</v>
      </c>
      <c r="E41">
        <v>171724427</v>
      </c>
      <c r="F41">
        <v>-0.41322999999999999</v>
      </c>
      <c r="G41">
        <v>635813562.74284792</v>
      </c>
      <c r="H41">
        <v>-0.99050516050255055</v>
      </c>
      <c r="I41">
        <v>0.58632792341699735</v>
      </c>
      <c r="J41" t="str">
        <f t="shared" si="8"/>
        <v>U</v>
      </c>
      <c r="K41" t="b">
        <f t="shared" si="9"/>
        <v>1</v>
      </c>
      <c r="L41" t="str">
        <f t="shared" si="10"/>
        <v>0.5-5</v>
      </c>
      <c r="M41">
        <f t="shared" si="11"/>
        <v>211937854.11289021</v>
      </c>
      <c r="N41" t="str">
        <f t="shared" si="12"/>
        <v>0-50</v>
      </c>
      <c r="O41" t="str">
        <f t="shared" si="7"/>
        <v>Up to 10</v>
      </c>
      <c r="P41">
        <f t="shared" si="13"/>
        <v>3.6562149982366021</v>
      </c>
      <c r="Q41">
        <f t="shared" si="14"/>
        <v>-3.6214998236602014E-2</v>
      </c>
    </row>
    <row r="42" spans="1:17" x14ac:dyDescent="0.3">
      <c r="A42" s="3" t="s">
        <v>100</v>
      </c>
      <c r="B42" t="s">
        <v>101</v>
      </c>
      <c r="C42">
        <v>1.75</v>
      </c>
      <c r="D42">
        <v>2266659357</v>
      </c>
      <c r="E42">
        <v>379043172</v>
      </c>
      <c r="F42">
        <v>6.3548799999999996</v>
      </c>
      <c r="G42">
        <v>1296058293</v>
      </c>
      <c r="H42">
        <v>-0.11812262464886564</v>
      </c>
      <c r="I42">
        <v>10.639836616397185</v>
      </c>
      <c r="J42" t="str">
        <f t="shared" si="8"/>
        <v>N</v>
      </c>
      <c r="K42" t="b">
        <f t="shared" si="9"/>
        <v>0</v>
      </c>
      <c r="L42" t="str">
        <f t="shared" si="10"/>
        <v>0.5-5</v>
      </c>
      <c r="M42">
        <f t="shared" si="11"/>
        <v>432019434.50723797</v>
      </c>
      <c r="N42" t="str">
        <f t="shared" si="12"/>
        <v>0-50</v>
      </c>
      <c r="O42" t="str">
        <f t="shared" si="7"/>
        <v>Up to 10</v>
      </c>
      <c r="P42">
        <f t="shared" si="13"/>
        <v>1.7520695905860748</v>
      </c>
      <c r="Q42">
        <f t="shared" si="14"/>
        <v>-2.0695905860748098E-3</v>
      </c>
    </row>
    <row r="43" spans="1:17" x14ac:dyDescent="0.3">
      <c r="A43" s="3" t="s">
        <v>102</v>
      </c>
      <c r="B43" t="s">
        <v>103</v>
      </c>
      <c r="C43">
        <v>0.68358699999999994</v>
      </c>
      <c r="D43">
        <v>2257879959</v>
      </c>
      <c r="E43">
        <v>38560593</v>
      </c>
      <c r="F43">
        <v>9.2082300000000004</v>
      </c>
      <c r="G43">
        <v>3302294382.53684</v>
      </c>
      <c r="H43">
        <v>-0.34267195050204619</v>
      </c>
      <c r="I43">
        <v>1.0438859455008442</v>
      </c>
      <c r="J43" t="str">
        <f t="shared" si="8"/>
        <v>M</v>
      </c>
      <c r="K43" t="b">
        <f t="shared" si="9"/>
        <v>0</v>
      </c>
      <c r="L43" t="str">
        <f t="shared" si="10"/>
        <v>0.5-5</v>
      </c>
      <c r="M43">
        <f t="shared" si="11"/>
        <v>1100764794.4126847</v>
      </c>
      <c r="N43" t="str">
        <f t="shared" si="12"/>
        <v>0-50</v>
      </c>
      <c r="O43" t="str">
        <f t="shared" si="7"/>
        <v>Up to 10</v>
      </c>
      <c r="P43">
        <f t="shared" si="13"/>
        <v>0.68593751546346393</v>
      </c>
      <c r="Q43">
        <f t="shared" si="14"/>
        <v>-2.3505154634639869E-3</v>
      </c>
    </row>
    <row r="44" spans="1:17" x14ac:dyDescent="0.3">
      <c r="A44" s="3" t="s">
        <v>104</v>
      </c>
      <c r="B44" t="s">
        <v>105</v>
      </c>
      <c r="C44">
        <v>1.1299999999999999</v>
      </c>
      <c r="D44">
        <v>2140904879</v>
      </c>
      <c r="E44">
        <v>1108857</v>
      </c>
      <c r="F44">
        <v>-0.23561000000000001</v>
      </c>
      <c r="G44">
        <v>1889716549.0305359</v>
      </c>
      <c r="H44">
        <v>0.42795131373949907</v>
      </c>
      <c r="I44">
        <v>2.8911816051841989E-2</v>
      </c>
      <c r="J44" t="str">
        <f t="shared" si="8"/>
        <v>O</v>
      </c>
      <c r="K44" t="b">
        <f t="shared" si="9"/>
        <v>1</v>
      </c>
      <c r="L44" t="str">
        <f t="shared" si="10"/>
        <v>0.5-5</v>
      </c>
      <c r="M44">
        <f t="shared" si="11"/>
        <v>629905516.49579966</v>
      </c>
      <c r="N44" t="str">
        <f t="shared" si="12"/>
        <v>0-50</v>
      </c>
      <c r="O44" t="str">
        <f t="shared" si="7"/>
        <v>Up to 10</v>
      </c>
      <c r="P44">
        <f t="shared" si="13"/>
        <v>1.1251847570502069</v>
      </c>
      <c r="Q44">
        <f t="shared" si="14"/>
        <v>4.8152429497929639E-3</v>
      </c>
    </row>
    <row r="45" spans="1:17" x14ac:dyDescent="0.3">
      <c r="A45" s="3" t="s">
        <v>106</v>
      </c>
      <c r="B45" t="s">
        <v>107</v>
      </c>
      <c r="C45">
        <v>1.27</v>
      </c>
      <c r="D45">
        <v>2135906168</v>
      </c>
      <c r="E45">
        <v>108467907</v>
      </c>
      <c r="F45">
        <v>2.3259799999999999</v>
      </c>
      <c r="G45">
        <v>1684814367.2796321</v>
      </c>
      <c r="H45">
        <v>-0.54818035898782391</v>
      </c>
      <c r="I45">
        <v>-4.5023257036709508</v>
      </c>
      <c r="J45" t="str">
        <f t="shared" si="8"/>
        <v>P</v>
      </c>
      <c r="K45" t="b">
        <f t="shared" si="9"/>
        <v>0</v>
      </c>
      <c r="L45" t="str">
        <f t="shared" si="10"/>
        <v>0.5-5</v>
      </c>
      <c r="M45">
        <f t="shared" si="11"/>
        <v>561604787.40970862</v>
      </c>
      <c r="N45" t="str">
        <f t="shared" si="12"/>
        <v>0-50</v>
      </c>
      <c r="O45" t="str">
        <f t="shared" si="7"/>
        <v>Up to 10</v>
      </c>
      <c r="P45">
        <f t="shared" si="13"/>
        <v>1.2770002646349514</v>
      </c>
      <c r="Q45">
        <f t="shared" si="14"/>
        <v>-7.0002646349514031E-3</v>
      </c>
    </row>
    <row r="46" spans="1:17" x14ac:dyDescent="0.3">
      <c r="A46" s="3" t="s">
        <v>108</v>
      </c>
      <c r="B46" t="s">
        <v>109</v>
      </c>
      <c r="C46">
        <v>4524.24</v>
      </c>
      <c r="D46">
        <v>2128577072</v>
      </c>
      <c r="E46">
        <v>127740373</v>
      </c>
      <c r="F46">
        <v>0.93718000000000001</v>
      </c>
      <c r="G46">
        <v>470301.37</v>
      </c>
      <c r="H46">
        <v>3.1792901976748576E-2</v>
      </c>
      <c r="I46">
        <v>-3.4895275090278206</v>
      </c>
      <c r="J46" t="str">
        <f t="shared" si="8"/>
        <v>P</v>
      </c>
      <c r="K46" t="b">
        <f t="shared" si="9"/>
        <v>0</v>
      </c>
      <c r="L46" t="str">
        <f t="shared" si="10"/>
        <v>&gt;50</v>
      </c>
      <c r="M46">
        <f t="shared" si="11"/>
        <v>156765.97075513098</v>
      </c>
      <c r="N46" t="str">
        <f t="shared" si="12"/>
        <v>&gt;50</v>
      </c>
      <c r="O46" t="str">
        <f t="shared" si="7"/>
        <v>Up to 10</v>
      </c>
      <c r="P46">
        <f t="shared" si="13"/>
        <v>4522.8020699712915</v>
      </c>
      <c r="Q46">
        <f t="shared" si="14"/>
        <v>1.4379300287082515</v>
      </c>
    </row>
    <row r="47" spans="1:17" x14ac:dyDescent="0.3">
      <c r="A47" s="3" t="s">
        <v>110</v>
      </c>
      <c r="B47" t="s">
        <v>111</v>
      </c>
      <c r="C47">
        <v>0.40456700000000001</v>
      </c>
      <c r="D47">
        <v>1967585323</v>
      </c>
      <c r="E47">
        <v>257627665</v>
      </c>
      <c r="F47">
        <v>7.5934699999999999</v>
      </c>
      <c r="G47">
        <v>4869330647</v>
      </c>
      <c r="H47">
        <v>-0.85457540649667207</v>
      </c>
      <c r="I47">
        <v>5.4569317177622905</v>
      </c>
      <c r="J47" t="str">
        <f t="shared" si="8"/>
        <v>O</v>
      </c>
      <c r="K47" t="b">
        <f t="shared" si="9"/>
        <v>1</v>
      </c>
      <c r="L47" t="str">
        <f t="shared" si="10"/>
        <v>0.05-0.5</v>
      </c>
      <c r="M47">
        <f t="shared" si="11"/>
        <v>1623110217.2007856</v>
      </c>
      <c r="N47" t="str">
        <f t="shared" si="12"/>
        <v>0-50</v>
      </c>
      <c r="O47" t="str">
        <f t="shared" si="7"/>
        <v>&gt;=10</v>
      </c>
      <c r="P47">
        <f t="shared" si="13"/>
        <v>0.40805413024224413</v>
      </c>
      <c r="Q47">
        <f t="shared" si="14"/>
        <v>-3.4871302422441186E-3</v>
      </c>
    </row>
    <row r="48" spans="1:17" x14ac:dyDescent="0.3">
      <c r="A48" s="3" t="s">
        <v>112</v>
      </c>
      <c r="B48" t="s">
        <v>113</v>
      </c>
      <c r="C48">
        <v>6.1742999999999999E-2</v>
      </c>
      <c r="D48">
        <v>1960851840</v>
      </c>
      <c r="E48">
        <v>32416007</v>
      </c>
      <c r="F48">
        <v>0.26554</v>
      </c>
      <c r="G48">
        <v>31773075199</v>
      </c>
      <c r="H48">
        <v>8.5060875340040809E-2</v>
      </c>
      <c r="I48">
        <v>-9.2719290133201966</v>
      </c>
      <c r="J48" t="str">
        <f t="shared" si="8"/>
        <v>W</v>
      </c>
      <c r="K48" t="b">
        <f t="shared" si="9"/>
        <v>0</v>
      </c>
      <c r="L48" t="str">
        <f t="shared" si="10"/>
        <v>0.05-0.5</v>
      </c>
      <c r="M48">
        <f t="shared" si="11"/>
        <v>10591025063.271044</v>
      </c>
      <c r="N48" t="str">
        <f t="shared" si="12"/>
        <v>0-50</v>
      </c>
      <c r="O48" t="str">
        <f t="shared" si="7"/>
        <v>Up to 10</v>
      </c>
      <c r="P48">
        <f t="shared" si="13"/>
        <v>6.1690525499008671E-2</v>
      </c>
      <c r="Q48">
        <f t="shared" si="14"/>
        <v>5.2474500991328554E-5</v>
      </c>
    </row>
    <row r="49" spans="1:17" x14ac:dyDescent="0.3">
      <c r="A49" s="3" t="s">
        <v>114</v>
      </c>
      <c r="B49" t="s">
        <v>115</v>
      </c>
      <c r="C49">
        <v>0.71816000000000002</v>
      </c>
      <c r="D49">
        <v>1850059896</v>
      </c>
      <c r="E49">
        <v>175590155</v>
      </c>
      <c r="F49">
        <v>8.3919800000000002</v>
      </c>
      <c r="G49">
        <v>2579922243.4698935</v>
      </c>
      <c r="H49">
        <v>4.2732958440488078</v>
      </c>
      <c r="I49">
        <v>6.301876591393631</v>
      </c>
      <c r="J49" t="str">
        <f t="shared" si="8"/>
        <v>A</v>
      </c>
      <c r="K49" t="b">
        <f t="shared" si="9"/>
        <v>1</v>
      </c>
      <c r="L49" t="str">
        <f t="shared" si="10"/>
        <v>0.5-5</v>
      </c>
      <c r="M49">
        <f t="shared" si="11"/>
        <v>859974084.68168867</v>
      </c>
      <c r="N49" t="str">
        <f t="shared" si="12"/>
        <v>0-50</v>
      </c>
      <c r="O49" t="str">
        <f t="shared" si="7"/>
        <v>Up to 10</v>
      </c>
      <c r="P49">
        <f t="shared" si="13"/>
        <v>0.68872858979549323</v>
      </c>
      <c r="Q49">
        <f t="shared" si="14"/>
        <v>2.9431410204506792E-2</v>
      </c>
    </row>
    <row r="50" spans="1:17" x14ac:dyDescent="0.3">
      <c r="A50" s="3" t="s">
        <v>116</v>
      </c>
      <c r="B50" t="s">
        <v>117</v>
      </c>
      <c r="C50">
        <v>2.0099999999999998E-6</v>
      </c>
      <c r="D50">
        <v>1829904742</v>
      </c>
      <c r="E50">
        <v>88949506</v>
      </c>
      <c r="F50">
        <v>2.0961599999999998</v>
      </c>
      <c r="G50">
        <v>905707664073577.75</v>
      </c>
      <c r="H50">
        <v>7.4229103767335616E-2</v>
      </c>
      <c r="I50">
        <v>2.7640844695456144</v>
      </c>
      <c r="J50" t="str">
        <f t="shared" si="8"/>
        <v>H</v>
      </c>
      <c r="K50" t="b">
        <f t="shared" si="9"/>
        <v>0</v>
      </c>
      <c r="L50" t="str">
        <f t="shared" si="10"/>
        <v>0-0.05</v>
      </c>
      <c r="M50">
        <f t="shared" si="11"/>
        <v>301902554691193.56</v>
      </c>
      <c r="N50" t="str">
        <f t="shared" si="12"/>
        <v>0-50</v>
      </c>
      <c r="O50" t="str">
        <f t="shared" si="7"/>
        <v>Up to 10</v>
      </c>
      <c r="P50">
        <f t="shared" si="13"/>
        <v>2.0085091016947265E-6</v>
      </c>
      <c r="Q50">
        <f t="shared" si="14"/>
        <v>1.4908983052733448E-9</v>
      </c>
    </row>
    <row r="51" spans="1:17" x14ac:dyDescent="0.3">
      <c r="A51" s="3" t="s">
        <v>118</v>
      </c>
      <c r="B51" t="s">
        <v>119</v>
      </c>
      <c r="C51">
        <v>0.99793699999999996</v>
      </c>
      <c r="D51">
        <v>1780780937</v>
      </c>
      <c r="E51">
        <v>245302</v>
      </c>
      <c r="F51">
        <v>2.0209999999999999E-2</v>
      </c>
      <c r="G51">
        <v>1784462229.1240611</v>
      </c>
      <c r="H51">
        <v>5.862603634798183E-2</v>
      </c>
      <c r="I51">
        <v>2.060919059783636E-2</v>
      </c>
      <c r="J51" t="str">
        <f t="shared" si="8"/>
        <v>F</v>
      </c>
      <c r="K51" t="b">
        <f t="shared" si="9"/>
        <v>0</v>
      </c>
      <c r="L51" t="str">
        <f t="shared" si="10"/>
        <v>0.5-5</v>
      </c>
      <c r="M51">
        <f t="shared" si="11"/>
        <v>594820743.06776536</v>
      </c>
      <c r="N51" t="str">
        <f t="shared" si="12"/>
        <v>0-50</v>
      </c>
      <c r="O51" t="str">
        <f t="shared" si="7"/>
        <v>Up to 10</v>
      </c>
      <c r="P51">
        <f t="shared" si="13"/>
        <v>0.99735229188284324</v>
      </c>
      <c r="Q51">
        <f t="shared" si="14"/>
        <v>5.8470811715671811E-4</v>
      </c>
    </row>
    <row r="52" spans="1:17" x14ac:dyDescent="0.3">
      <c r="A52" s="3" t="s">
        <v>120</v>
      </c>
      <c r="B52" t="s">
        <v>121</v>
      </c>
      <c r="C52">
        <v>0.99985500000000005</v>
      </c>
      <c r="D52">
        <v>1738007044</v>
      </c>
      <c r="E52">
        <v>126330738</v>
      </c>
      <c r="F52">
        <v>-7.5199999999999998E-3</v>
      </c>
      <c r="G52">
        <v>1738254025.031991</v>
      </c>
      <c r="H52">
        <v>-5.4478521218610477E-3</v>
      </c>
      <c r="I52">
        <v>4.5662620184120875E-4</v>
      </c>
      <c r="J52" t="str">
        <f t="shared" si="8"/>
        <v>R</v>
      </c>
      <c r="K52" t="b">
        <f t="shared" si="9"/>
        <v>0</v>
      </c>
      <c r="L52" t="str">
        <f t="shared" si="10"/>
        <v>0.5-5</v>
      </c>
      <c r="M52">
        <f t="shared" si="11"/>
        <v>579418008.3423332</v>
      </c>
      <c r="N52" t="str">
        <f t="shared" si="12"/>
        <v>0-50</v>
      </c>
      <c r="O52" t="str">
        <f t="shared" si="7"/>
        <v>Up to 10</v>
      </c>
      <c r="P52">
        <f t="shared" si="13"/>
        <v>0.99990947358947369</v>
      </c>
      <c r="Q52">
        <f t="shared" si="14"/>
        <v>-5.4473589473635897E-5</v>
      </c>
    </row>
    <row r="53" spans="1:17" x14ac:dyDescent="0.3">
      <c r="A53" s="3" t="s">
        <v>122</v>
      </c>
      <c r="B53" t="s">
        <v>123</v>
      </c>
      <c r="C53">
        <v>80.91</v>
      </c>
      <c r="D53">
        <v>1699352895</v>
      </c>
      <c r="E53">
        <v>9599728</v>
      </c>
      <c r="F53">
        <v>0.38945999999999997</v>
      </c>
      <c r="G53">
        <v>21000000</v>
      </c>
      <c r="H53">
        <v>-0.23627204871313084</v>
      </c>
      <c r="I53">
        <v>-4.35506655847899</v>
      </c>
      <c r="J53" t="str">
        <f t="shared" si="8"/>
        <v>O</v>
      </c>
      <c r="K53" t="b">
        <f t="shared" si="9"/>
        <v>1</v>
      </c>
      <c r="L53" t="str">
        <f t="shared" si="10"/>
        <v>&gt;50</v>
      </c>
      <c r="M53">
        <f t="shared" si="11"/>
        <v>6999998.4695537975</v>
      </c>
      <c r="N53" t="str">
        <f t="shared" si="12"/>
        <v>&gt;50</v>
      </c>
      <c r="O53" t="str">
        <f t="shared" si="7"/>
        <v>Up to 10</v>
      </c>
      <c r="P53">
        <f t="shared" si="13"/>
        <v>81.101620460200863</v>
      </c>
      <c r="Q53">
        <f t="shared" si="14"/>
        <v>-0.19162046020086621</v>
      </c>
    </row>
    <row r="54" spans="1:17" x14ac:dyDescent="0.3">
      <c r="A54" s="3" t="s">
        <v>124</v>
      </c>
      <c r="B54" t="s">
        <v>125</v>
      </c>
      <c r="C54">
        <v>7.0705000000000004E-2</v>
      </c>
      <c r="D54">
        <v>1642643254</v>
      </c>
      <c r="E54">
        <v>11226665</v>
      </c>
      <c r="F54">
        <v>2.4282400000000002</v>
      </c>
      <c r="G54">
        <v>23228890832.874542</v>
      </c>
      <c r="H54">
        <v>1.142832523301753E-2</v>
      </c>
      <c r="I54">
        <v>-2.7877835679384351</v>
      </c>
      <c r="J54" t="str">
        <f t="shared" si="8"/>
        <v>S</v>
      </c>
      <c r="K54" t="b">
        <f t="shared" si="9"/>
        <v>0</v>
      </c>
      <c r="L54" t="str">
        <f t="shared" si="10"/>
        <v>0.05-0.5</v>
      </c>
      <c r="M54">
        <f t="shared" si="11"/>
        <v>7742963610.0327291</v>
      </c>
      <c r="N54" t="str">
        <f t="shared" si="12"/>
        <v>0-50</v>
      </c>
      <c r="O54" t="str">
        <f t="shared" si="7"/>
        <v>&gt;=10</v>
      </c>
      <c r="P54">
        <f t="shared" si="13"/>
        <v>7.0696920525992565E-2</v>
      </c>
      <c r="Q54">
        <f t="shared" si="14"/>
        <v>8.0794740074385807E-6</v>
      </c>
    </row>
    <row r="55" spans="1:17" x14ac:dyDescent="0.3">
      <c r="A55" s="3" t="s">
        <v>126</v>
      </c>
      <c r="B55" t="s">
        <v>127</v>
      </c>
      <c r="C55">
        <v>0.152616</v>
      </c>
      <c r="D55">
        <v>1616509074</v>
      </c>
      <c r="E55">
        <v>13530641</v>
      </c>
      <c r="F55">
        <v>1.3580399999999999</v>
      </c>
      <c r="G55">
        <v>10592014967.80899</v>
      </c>
      <c r="H55">
        <v>-0.3945121998644997</v>
      </c>
      <c r="I55">
        <v>-10.239751688685232</v>
      </c>
      <c r="J55" t="str">
        <f t="shared" si="8"/>
        <v>P</v>
      </c>
      <c r="K55" t="b">
        <f t="shared" si="9"/>
        <v>0</v>
      </c>
      <c r="L55" t="str">
        <f t="shared" si="10"/>
        <v>0.05-0.5</v>
      </c>
      <c r="M55">
        <f t="shared" si="11"/>
        <v>3530671652.3915753</v>
      </c>
      <c r="N55" t="str">
        <f t="shared" si="12"/>
        <v>0-50</v>
      </c>
      <c r="O55" t="str">
        <f t="shared" si="7"/>
        <v>Up to 10</v>
      </c>
      <c r="P55">
        <f t="shared" si="13"/>
        <v>0.15322047346049181</v>
      </c>
      <c r="Q55">
        <f t="shared" si="14"/>
        <v>-6.0447346049180561E-4</v>
      </c>
    </row>
    <row r="56" spans="1:17" x14ac:dyDescent="0.3">
      <c r="A56" s="3" t="s">
        <v>128</v>
      </c>
      <c r="B56" t="s">
        <v>129</v>
      </c>
      <c r="C56">
        <v>3.7500000000000001E-6</v>
      </c>
      <c r="D56">
        <v>1577879365</v>
      </c>
      <c r="E56">
        <v>144544184</v>
      </c>
      <c r="F56">
        <v>1.82717</v>
      </c>
      <c r="G56">
        <v>420690000000000</v>
      </c>
      <c r="H56">
        <v>-0.64820364747108716</v>
      </c>
      <c r="I56">
        <v>-7.1632180720147183</v>
      </c>
      <c r="J56" t="str">
        <f t="shared" si="8"/>
        <v>P</v>
      </c>
      <c r="K56" t="b">
        <f t="shared" si="9"/>
        <v>0</v>
      </c>
      <c r="L56" t="str">
        <f t="shared" si="10"/>
        <v>0-0.05</v>
      </c>
      <c r="M56">
        <f t="shared" si="11"/>
        <v>140229999999997.39</v>
      </c>
      <c r="N56" t="str">
        <f t="shared" si="12"/>
        <v>0-50</v>
      </c>
      <c r="O56" t="str">
        <f t="shared" si="7"/>
        <v>Up to 10</v>
      </c>
      <c r="P56">
        <f t="shared" si="13"/>
        <v>3.7744662277609109E-6</v>
      </c>
      <c r="Q56">
        <f t="shared" si="14"/>
        <v>-2.4466227760910798E-8</v>
      </c>
    </row>
    <row r="57" spans="1:17" x14ac:dyDescent="0.3">
      <c r="A57" s="3" t="s">
        <v>130</v>
      </c>
      <c r="B57" t="s">
        <v>131</v>
      </c>
      <c r="C57">
        <v>0.99919599999999997</v>
      </c>
      <c r="D57">
        <v>1519516944</v>
      </c>
      <c r="E57">
        <v>2238315</v>
      </c>
      <c r="F57">
        <v>-6.7400000000000003E-3</v>
      </c>
      <c r="G57">
        <v>1520799941</v>
      </c>
      <c r="H57">
        <v>-2.0785640772402279E-2</v>
      </c>
      <c r="I57">
        <v>-3.5988291909135536E-2</v>
      </c>
      <c r="J57" t="str">
        <f t="shared" si="8"/>
        <v>U</v>
      </c>
      <c r="K57" t="b">
        <f t="shared" si="9"/>
        <v>1</v>
      </c>
      <c r="L57" t="str">
        <f t="shared" si="10"/>
        <v>0.5-5</v>
      </c>
      <c r="M57">
        <f t="shared" si="11"/>
        <v>506933313.64774203</v>
      </c>
      <c r="N57" t="str">
        <f t="shared" si="12"/>
        <v>0-50</v>
      </c>
      <c r="O57" t="str">
        <f t="shared" si="7"/>
        <v>Up to 10</v>
      </c>
      <c r="P57">
        <f t="shared" si="13"/>
        <v>0.99940373246969716</v>
      </c>
      <c r="Q57">
        <f t="shared" si="14"/>
        <v>-2.0773246969718606E-4</v>
      </c>
    </row>
    <row r="58" spans="1:17" x14ac:dyDescent="0.3">
      <c r="A58" s="3" t="s">
        <v>132</v>
      </c>
      <c r="B58" t="s">
        <v>133</v>
      </c>
      <c r="C58">
        <v>2.5499999999999998</v>
      </c>
      <c r="D58">
        <v>1410852460</v>
      </c>
      <c r="E58">
        <v>44915635</v>
      </c>
      <c r="F58">
        <v>1.3657600000000001</v>
      </c>
      <c r="G58">
        <v>552972257.56583953</v>
      </c>
      <c r="H58">
        <v>-0.67768520265549548</v>
      </c>
      <c r="I58">
        <v>-14.346871097471393</v>
      </c>
      <c r="J58" t="str">
        <f t="shared" si="8"/>
        <v>I</v>
      </c>
      <c r="K58" t="b">
        <f t="shared" si="9"/>
        <v>1</v>
      </c>
      <c r="L58" t="str">
        <f t="shared" si="10"/>
        <v>0.5-5</v>
      </c>
      <c r="M58">
        <f t="shared" si="11"/>
        <v>184324080.84709439</v>
      </c>
      <c r="N58" t="str">
        <f t="shared" si="12"/>
        <v>0-50</v>
      </c>
      <c r="O58" t="str">
        <f t="shared" si="7"/>
        <v>Up to 10</v>
      </c>
      <c r="P58">
        <f t="shared" si="13"/>
        <v>2.5673988823186158</v>
      </c>
      <c r="Q58">
        <f t="shared" si="14"/>
        <v>-1.7398882318615971E-2</v>
      </c>
    </row>
    <row r="59" spans="1:17" x14ac:dyDescent="0.3">
      <c r="A59" s="3" t="s">
        <v>136</v>
      </c>
      <c r="B59" t="s">
        <v>137</v>
      </c>
      <c r="C59">
        <v>2.0099999999999998</v>
      </c>
      <c r="D59">
        <v>1407164262</v>
      </c>
      <c r="E59">
        <v>13719093</v>
      </c>
      <c r="F59">
        <v>0.28819</v>
      </c>
      <c r="G59">
        <v>699992035.97879064</v>
      </c>
      <c r="H59">
        <v>-0.15940971873374071</v>
      </c>
      <c r="I59">
        <v>-3.8710864471212432</v>
      </c>
      <c r="J59" t="str">
        <f t="shared" si="8"/>
        <v>B</v>
      </c>
      <c r="K59" t="b">
        <f t="shared" si="9"/>
        <v>1</v>
      </c>
      <c r="L59" t="str">
        <f t="shared" si="10"/>
        <v>0.5-5</v>
      </c>
      <c r="M59">
        <f t="shared" si="11"/>
        <v>233330677.31609812</v>
      </c>
      <c r="N59" t="str">
        <f t="shared" si="12"/>
        <v>0-50</v>
      </c>
      <c r="O59" t="str">
        <f t="shared" si="7"/>
        <v>Up to 10</v>
      </c>
      <c r="P59">
        <f t="shared" si="13"/>
        <v>2.0132092512048669</v>
      </c>
      <c r="Q59">
        <f t="shared" si="14"/>
        <v>-3.2092512048671473E-3</v>
      </c>
    </row>
    <row r="60" spans="1:17" x14ac:dyDescent="0.3">
      <c r="A60" s="3" t="s">
        <v>134</v>
      </c>
      <c r="B60" t="s">
        <v>135</v>
      </c>
      <c r="C60">
        <v>8.98</v>
      </c>
      <c r="D60">
        <v>1406411503</v>
      </c>
      <c r="E60">
        <v>29995577</v>
      </c>
      <c r="F60">
        <v>-0.78042999999999996</v>
      </c>
      <c r="G60">
        <v>156559601.62289631</v>
      </c>
      <c r="H60">
        <v>-0.56416051559823477</v>
      </c>
      <c r="I60">
        <v>-2.8260044865838125</v>
      </c>
      <c r="J60" t="str">
        <f t="shared" si="8"/>
        <v>E</v>
      </c>
      <c r="K60" t="b">
        <f t="shared" si="9"/>
        <v>1</v>
      </c>
      <c r="L60" t="str">
        <f t="shared" si="10"/>
        <v>5-50</v>
      </c>
      <c r="M60">
        <f t="shared" si="11"/>
        <v>52186532.744243771</v>
      </c>
      <c r="N60" t="str">
        <f t="shared" si="12"/>
        <v>0-50</v>
      </c>
      <c r="O60" t="str">
        <f t="shared" si="7"/>
        <v>Up to 10</v>
      </c>
      <c r="P60">
        <f t="shared" si="13"/>
        <v>9.0309490487166535</v>
      </c>
      <c r="Q60">
        <f t="shared" si="14"/>
        <v>-5.0949048716653067E-2</v>
      </c>
    </row>
    <row r="61" spans="1:17" x14ac:dyDescent="0.3">
      <c r="A61" s="3" t="s">
        <v>138</v>
      </c>
      <c r="B61" t="s">
        <v>139</v>
      </c>
      <c r="C61">
        <v>88.75</v>
      </c>
      <c r="D61">
        <v>1348184218</v>
      </c>
      <c r="E61">
        <v>166381553</v>
      </c>
      <c r="F61">
        <v>1.1672199999999999</v>
      </c>
      <c r="G61">
        <v>15179911.874935385</v>
      </c>
      <c r="H61">
        <v>-0.72788565888266055</v>
      </c>
      <c r="I61">
        <v>-8.2018127262532694</v>
      </c>
      <c r="J61" t="str">
        <f t="shared" si="8"/>
        <v>A</v>
      </c>
      <c r="K61" t="b">
        <f t="shared" si="9"/>
        <v>1</v>
      </c>
      <c r="L61" t="str">
        <f t="shared" si="10"/>
        <v>&gt;50</v>
      </c>
      <c r="M61">
        <f t="shared" si="11"/>
        <v>5059967.6484123329</v>
      </c>
      <c r="N61" t="str">
        <f t="shared" si="12"/>
        <v>&gt;50</v>
      </c>
      <c r="O61" t="str">
        <f t="shared" si="7"/>
        <v>Up to 10</v>
      </c>
      <c r="P61">
        <f t="shared" si="13"/>
        <v>89.400735129946554</v>
      </c>
      <c r="Q61">
        <f t="shared" si="14"/>
        <v>-0.65073512994655403</v>
      </c>
    </row>
    <row r="62" spans="1:17" x14ac:dyDescent="0.3">
      <c r="A62" s="3" t="s">
        <v>140</v>
      </c>
      <c r="B62" t="s">
        <v>141</v>
      </c>
      <c r="C62">
        <v>0.99830099999999999</v>
      </c>
      <c r="D62">
        <v>1317757144</v>
      </c>
      <c r="E62">
        <v>3135665</v>
      </c>
      <c r="F62">
        <v>-0.02</v>
      </c>
      <c r="G62">
        <v>1320000000</v>
      </c>
      <c r="H62">
        <v>-1.0009879803440602E-2</v>
      </c>
      <c r="I62">
        <v>-7.9980589497204088E-2</v>
      </c>
      <c r="J62" t="str">
        <f t="shared" si="8"/>
        <v>B</v>
      </c>
      <c r="K62" t="b">
        <f t="shared" si="9"/>
        <v>1</v>
      </c>
      <c r="L62" t="str">
        <f t="shared" si="10"/>
        <v>0.5-5</v>
      </c>
      <c r="M62">
        <f t="shared" si="11"/>
        <v>439999999.97000319</v>
      </c>
      <c r="N62" t="str">
        <f t="shared" si="12"/>
        <v>0-50</v>
      </c>
      <c r="O62" t="str">
        <f t="shared" si="7"/>
        <v>&gt;=10</v>
      </c>
      <c r="P62">
        <f t="shared" si="13"/>
        <v>0.99840093873392366</v>
      </c>
      <c r="Q62">
        <f t="shared" si="14"/>
        <v>-9.9938733923665701E-5</v>
      </c>
    </row>
    <row r="63" spans="1:17" x14ac:dyDescent="0.3">
      <c r="A63" s="3" t="s">
        <v>142</v>
      </c>
      <c r="B63" t="s">
        <v>143</v>
      </c>
      <c r="C63">
        <v>1.9</v>
      </c>
      <c r="D63">
        <v>1202146737</v>
      </c>
      <c r="E63">
        <v>16210295</v>
      </c>
      <c r="F63">
        <v>5.7377799999999999</v>
      </c>
      <c r="G63">
        <v>632970288.4273876</v>
      </c>
      <c r="H63">
        <v>-6.9964460628921921E-2</v>
      </c>
      <c r="I63">
        <v>-3.5161602546571928</v>
      </c>
      <c r="J63" t="str">
        <f t="shared" si="8"/>
        <v>M</v>
      </c>
      <c r="K63" t="b">
        <f t="shared" si="9"/>
        <v>0</v>
      </c>
      <c r="L63" t="str">
        <f t="shared" si="10"/>
        <v>0.5-5</v>
      </c>
      <c r="M63">
        <f t="shared" si="11"/>
        <v>210990094.94708765</v>
      </c>
      <c r="N63" t="str">
        <f t="shared" si="12"/>
        <v>0-50</v>
      </c>
      <c r="O63" t="str">
        <f t="shared" si="7"/>
        <v>Up to 10</v>
      </c>
      <c r="P63">
        <f t="shared" si="13"/>
        <v>1.9013302554580056</v>
      </c>
      <c r="Q63">
        <f t="shared" si="14"/>
        <v>-1.3302554580056913E-3</v>
      </c>
    </row>
    <row r="64" spans="1:17" x14ac:dyDescent="0.3">
      <c r="A64" s="3" t="s">
        <v>144</v>
      </c>
      <c r="B64" t="s">
        <v>145</v>
      </c>
      <c r="C64">
        <v>0.99926000000000004</v>
      </c>
      <c r="D64">
        <v>1080201403</v>
      </c>
      <c r="E64">
        <v>2480308</v>
      </c>
      <c r="F64">
        <v>1.034E-2</v>
      </c>
      <c r="G64">
        <v>1081001061.2661819</v>
      </c>
      <c r="H64">
        <v>7.3147164101177733E-4</v>
      </c>
      <c r="I64">
        <v>-8.9254343215381827E-3</v>
      </c>
      <c r="J64" t="str">
        <f t="shared" si="8"/>
        <v>U</v>
      </c>
      <c r="K64" t="b">
        <f t="shared" si="9"/>
        <v>1</v>
      </c>
      <c r="L64" t="str">
        <f t="shared" si="10"/>
        <v>0.5-5</v>
      </c>
      <c r="M64">
        <f t="shared" si="11"/>
        <v>360333687.08599597</v>
      </c>
      <c r="N64" t="str">
        <f t="shared" si="12"/>
        <v>0-50</v>
      </c>
      <c r="O64" t="str">
        <f t="shared" si="7"/>
        <v>Up to 10</v>
      </c>
      <c r="P64">
        <f t="shared" si="13"/>
        <v>0.99925269074994516</v>
      </c>
      <c r="Q64">
        <f t="shared" si="14"/>
        <v>7.3092500548765926E-6</v>
      </c>
    </row>
    <row r="65" spans="1:17" x14ac:dyDescent="0.3">
      <c r="A65" s="3" t="s">
        <v>146</v>
      </c>
      <c r="B65" t="s">
        <v>147</v>
      </c>
      <c r="C65">
        <v>8</v>
      </c>
      <c r="D65">
        <v>1077600775</v>
      </c>
      <c r="E65">
        <v>2801704</v>
      </c>
      <c r="F65">
        <v>0.64693000000000001</v>
      </c>
      <c r="G65">
        <v>134655021.73556709</v>
      </c>
      <c r="H65">
        <v>0.20980787852562544</v>
      </c>
      <c r="I65">
        <v>-4.0416454085957367</v>
      </c>
      <c r="J65" t="str">
        <f t="shared" si="8"/>
        <v>K</v>
      </c>
      <c r="K65" t="b">
        <f t="shared" si="9"/>
        <v>0</v>
      </c>
      <c r="L65" t="str">
        <f t="shared" si="10"/>
        <v>5-50</v>
      </c>
      <c r="M65">
        <f t="shared" si="11"/>
        <v>44885005.96790985</v>
      </c>
      <c r="N65" t="str">
        <f t="shared" si="12"/>
        <v>0-50</v>
      </c>
      <c r="O65" t="str">
        <f t="shared" si="7"/>
        <v>Up to 10</v>
      </c>
      <c r="P65">
        <f t="shared" si="13"/>
        <v>7.9832505114645098</v>
      </c>
      <c r="Q65">
        <f t="shared" si="14"/>
        <v>1.6749488535490187E-2</v>
      </c>
    </row>
    <row r="66" spans="1:17" x14ac:dyDescent="0.3">
      <c r="A66" s="3" t="s">
        <v>148</v>
      </c>
      <c r="B66" t="s">
        <v>149</v>
      </c>
      <c r="C66">
        <v>73.64</v>
      </c>
      <c r="D66">
        <v>1071707103</v>
      </c>
      <c r="E66">
        <v>9554347</v>
      </c>
      <c r="F66">
        <v>1.5471900000000001</v>
      </c>
      <c r="G66">
        <v>14544176.164081177</v>
      </c>
      <c r="H66">
        <v>-9.0844698906063295E-2</v>
      </c>
      <c r="I66">
        <v>-4.6706862453354789</v>
      </c>
      <c r="J66" t="str">
        <f t="shared" ref="J66:J97" si="15">LEFT(B66,1)</f>
        <v>Q</v>
      </c>
      <c r="K66" t="b">
        <f t="shared" ref="K66:K97" si="16">OR(J66="A",J66="E",J66="I",J66="O",J66="U",J66="B",J66="C",J66="D")</f>
        <v>0</v>
      </c>
      <c r="L66" t="str">
        <f t="shared" ref="L66:L97" si="17">IF(C66&lt;=0.05,"0-0.05",IF(C66&lt;=0.5,"0.05-0.5",IF(C66&lt;=5,"0.5-5",IF(C66&lt;=50,"5-50","&gt;50"))))</f>
        <v>&gt;50</v>
      </c>
      <c r="M66">
        <f t="shared" ref="M66:M97" si="18">ABS(AVERAGE(G66,H66,I66))</f>
        <v>4848057.1341834115</v>
      </c>
      <c r="N66" t="str">
        <f t="shared" ref="N66:N97" si="19">IF(C66&lt;=50,"0-50","&gt;50")</f>
        <v>&gt;50</v>
      </c>
      <c r="O66" t="str">
        <f t="shared" si="7"/>
        <v>Up to 10</v>
      </c>
      <c r="P66">
        <f t="shared" ref="P66:P97" si="20">C66/(1+(H66/100))</f>
        <v>73.70695886485359</v>
      </c>
      <c r="Q66">
        <f t="shared" ref="Q66:Q97" si="21">C66-P66</f>
        <v>-6.6958864853589262E-2</v>
      </c>
    </row>
    <row r="67" spans="1:17" x14ac:dyDescent="0.3">
      <c r="A67" s="3" t="s">
        <v>152</v>
      </c>
      <c r="B67" t="s">
        <v>153</v>
      </c>
      <c r="C67">
        <v>1.22</v>
      </c>
      <c r="D67">
        <v>1053097673</v>
      </c>
      <c r="E67">
        <v>0</v>
      </c>
      <c r="F67">
        <v>0.35172999999999999</v>
      </c>
      <c r="G67">
        <v>860836000.10935998</v>
      </c>
      <c r="H67">
        <v>5.9546031291903272E-2</v>
      </c>
      <c r="I67">
        <v>-0.64773590649508916</v>
      </c>
      <c r="J67" t="str">
        <f t="shared" si="15"/>
        <v>S</v>
      </c>
      <c r="K67" t="b">
        <f t="shared" si="16"/>
        <v>0</v>
      </c>
      <c r="L67" t="str">
        <f t="shared" si="17"/>
        <v>0.5-5</v>
      </c>
      <c r="M67">
        <f t="shared" si="18"/>
        <v>286945333.17372334</v>
      </c>
      <c r="N67" t="str">
        <f t="shared" si="19"/>
        <v>0-50</v>
      </c>
      <c r="O67" t="str">
        <f t="shared" si="7"/>
        <v>&gt;=10</v>
      </c>
      <c r="P67">
        <f t="shared" si="20"/>
        <v>1.2192739707398492</v>
      </c>
      <c r="Q67">
        <f t="shared" si="21"/>
        <v>7.260292601507512E-4</v>
      </c>
    </row>
    <row r="68" spans="1:17" x14ac:dyDescent="0.3">
      <c r="A68" s="3" t="s">
        <v>150</v>
      </c>
      <c r="B68" t="s">
        <v>151</v>
      </c>
      <c r="C68">
        <v>2.06</v>
      </c>
      <c r="D68">
        <v>1049545377</v>
      </c>
      <c r="E68">
        <v>35087930</v>
      </c>
      <c r="F68">
        <v>2.6810700000000001</v>
      </c>
      <c r="G68">
        <v>509738500.58006001</v>
      </c>
      <c r="H68">
        <v>-0.36321184248508648</v>
      </c>
      <c r="I68">
        <v>2.7892255445955718</v>
      </c>
      <c r="J68" t="str">
        <f t="shared" si="15"/>
        <v>C</v>
      </c>
      <c r="K68" t="b">
        <f t="shared" si="16"/>
        <v>1</v>
      </c>
      <c r="L68" t="str">
        <f t="shared" si="17"/>
        <v>0.5-5</v>
      </c>
      <c r="M68">
        <f t="shared" si="18"/>
        <v>169912834.33535787</v>
      </c>
      <c r="N68" t="str">
        <f t="shared" si="19"/>
        <v>0-50</v>
      </c>
      <c r="O68" t="str">
        <f t="shared" ref="O68:O131" si="22">IF(C67&lt;10,"Up to 10","&gt;=10")</f>
        <v>Up to 10</v>
      </c>
      <c r="P68">
        <f t="shared" si="20"/>
        <v>2.067509439127408</v>
      </c>
      <c r="Q68">
        <f t="shared" si="21"/>
        <v>-7.5094391274079797E-3</v>
      </c>
    </row>
    <row r="69" spans="1:17" x14ac:dyDescent="0.3">
      <c r="A69" s="3" t="s">
        <v>154</v>
      </c>
      <c r="B69" t="s">
        <v>155</v>
      </c>
      <c r="C69">
        <v>0.115578</v>
      </c>
      <c r="D69">
        <v>1029523423</v>
      </c>
      <c r="E69">
        <v>35020047</v>
      </c>
      <c r="F69">
        <v>1.29657</v>
      </c>
      <c r="G69">
        <v>8914080475.5440235</v>
      </c>
      <c r="H69">
        <v>3.4521222066742678E-2</v>
      </c>
      <c r="I69">
        <v>-1.1306691103516555</v>
      </c>
      <c r="J69" t="str">
        <f t="shared" si="15"/>
        <v>A</v>
      </c>
      <c r="K69" t="b">
        <f t="shared" si="16"/>
        <v>1</v>
      </c>
      <c r="L69" t="str">
        <f t="shared" si="17"/>
        <v>0.05-0.5</v>
      </c>
      <c r="M69">
        <f t="shared" si="18"/>
        <v>2971360158.149292</v>
      </c>
      <c r="N69" t="str">
        <f t="shared" si="19"/>
        <v>0-50</v>
      </c>
      <c r="O69" t="str">
        <f t="shared" si="22"/>
        <v>Up to 10</v>
      </c>
      <c r="P69">
        <f t="shared" si="20"/>
        <v>0.11553811483080752</v>
      </c>
      <c r="Q69">
        <f t="shared" si="21"/>
        <v>3.9885169192482861E-5</v>
      </c>
    </row>
    <row r="70" spans="1:17" x14ac:dyDescent="0.3">
      <c r="A70" s="3" t="s">
        <v>156</v>
      </c>
      <c r="B70" t="s">
        <v>157</v>
      </c>
      <c r="C70">
        <v>1</v>
      </c>
      <c r="D70">
        <v>1027910673</v>
      </c>
      <c r="E70">
        <v>11741382</v>
      </c>
      <c r="F70">
        <v>2.7009999999999999E-2</v>
      </c>
      <c r="G70">
        <v>1027858682.01</v>
      </c>
      <c r="H70">
        <v>3.6520957212520331E-3</v>
      </c>
      <c r="I70">
        <v>2.9818843530029011E-2</v>
      </c>
      <c r="J70" t="str">
        <f t="shared" si="15"/>
        <v>U</v>
      </c>
      <c r="K70" t="b">
        <f t="shared" si="16"/>
        <v>1</v>
      </c>
      <c r="L70" t="str">
        <f t="shared" si="17"/>
        <v>0.5-5</v>
      </c>
      <c r="M70">
        <f t="shared" si="18"/>
        <v>342619560.68115699</v>
      </c>
      <c r="N70" t="str">
        <f t="shared" si="19"/>
        <v>0-50</v>
      </c>
      <c r="O70" t="str">
        <f t="shared" si="22"/>
        <v>Up to 10</v>
      </c>
      <c r="P70">
        <f t="shared" si="20"/>
        <v>0.99996348037651894</v>
      </c>
      <c r="Q70">
        <f t="shared" si="21"/>
        <v>3.6519623481057195E-5</v>
      </c>
    </row>
    <row r="71" spans="1:17" x14ac:dyDescent="0.3">
      <c r="A71" s="3" t="s">
        <v>158</v>
      </c>
      <c r="B71" t="s">
        <v>159</v>
      </c>
      <c r="C71">
        <v>1.93</v>
      </c>
      <c r="D71">
        <v>999815531</v>
      </c>
      <c r="E71">
        <v>62513512</v>
      </c>
      <c r="F71">
        <v>3.1774300000000002</v>
      </c>
      <c r="G71">
        <v>518743261.01407421</v>
      </c>
      <c r="H71">
        <v>-1.536708769952134</v>
      </c>
      <c r="I71">
        <v>3.2769830750706395</v>
      </c>
      <c r="J71" t="str">
        <f t="shared" si="15"/>
        <v>R</v>
      </c>
      <c r="K71" t="b">
        <f t="shared" si="16"/>
        <v>0</v>
      </c>
      <c r="L71" t="str">
        <f t="shared" si="17"/>
        <v>0.5-5</v>
      </c>
      <c r="M71">
        <f t="shared" si="18"/>
        <v>172914420.91811618</v>
      </c>
      <c r="N71" t="str">
        <f t="shared" si="19"/>
        <v>0-50</v>
      </c>
      <c r="O71" t="str">
        <f t="shared" si="22"/>
        <v>Up to 10</v>
      </c>
      <c r="P71">
        <f t="shared" si="20"/>
        <v>1.9601213567915199</v>
      </c>
      <c r="Q71">
        <f t="shared" si="21"/>
        <v>-3.0121356791519949E-2</v>
      </c>
    </row>
    <row r="72" spans="1:17" x14ac:dyDescent="0.3">
      <c r="A72" s="3" t="s">
        <v>160</v>
      </c>
      <c r="B72" t="s">
        <v>161</v>
      </c>
      <c r="C72">
        <v>1.1000000000000001</v>
      </c>
      <c r="D72">
        <v>989146526</v>
      </c>
      <c r="E72">
        <v>0</v>
      </c>
      <c r="F72">
        <v>1.123E-2</v>
      </c>
      <c r="G72">
        <v>895904381.31546998</v>
      </c>
      <c r="H72">
        <v>0</v>
      </c>
      <c r="I72">
        <v>8.1673351916064146E-2</v>
      </c>
      <c r="J72" t="str">
        <f t="shared" si="15"/>
        <v>J</v>
      </c>
      <c r="K72" t="b">
        <f t="shared" si="16"/>
        <v>0</v>
      </c>
      <c r="L72" t="str">
        <f t="shared" si="17"/>
        <v>0.5-5</v>
      </c>
      <c r="M72">
        <f t="shared" si="18"/>
        <v>298634793.79904777</v>
      </c>
      <c r="N72" t="str">
        <f t="shared" si="19"/>
        <v>0-50</v>
      </c>
      <c r="O72" t="str">
        <f t="shared" si="22"/>
        <v>Up to 10</v>
      </c>
      <c r="P72">
        <f t="shared" si="20"/>
        <v>1.1000000000000001</v>
      </c>
      <c r="Q72">
        <f t="shared" si="21"/>
        <v>0</v>
      </c>
    </row>
    <row r="73" spans="1:17" x14ac:dyDescent="0.3">
      <c r="A73" s="3" t="s">
        <v>162</v>
      </c>
      <c r="B73" t="s">
        <v>163</v>
      </c>
      <c r="C73">
        <v>11.09</v>
      </c>
      <c r="D73">
        <v>985963054</v>
      </c>
      <c r="E73">
        <v>0</v>
      </c>
      <c r="F73">
        <v>9.6200000000000001E-3</v>
      </c>
      <c r="G73">
        <v>88925714.028620005</v>
      </c>
      <c r="H73">
        <v>0</v>
      </c>
      <c r="I73">
        <v>6.6244584572892867E-2</v>
      </c>
      <c r="J73" t="str">
        <f t="shared" si="15"/>
        <v>S</v>
      </c>
      <c r="K73" t="b">
        <f t="shared" si="16"/>
        <v>0</v>
      </c>
      <c r="L73" t="str">
        <f t="shared" si="17"/>
        <v>5-50</v>
      </c>
      <c r="M73">
        <f t="shared" si="18"/>
        <v>29641904.698288199</v>
      </c>
      <c r="N73" t="str">
        <f t="shared" si="19"/>
        <v>0-50</v>
      </c>
      <c r="O73" t="str">
        <f t="shared" si="22"/>
        <v>Up to 10</v>
      </c>
      <c r="P73">
        <f t="shared" si="20"/>
        <v>11.09</v>
      </c>
      <c r="Q73">
        <f t="shared" si="21"/>
        <v>0</v>
      </c>
    </row>
    <row r="74" spans="1:17" x14ac:dyDescent="0.3">
      <c r="A74" s="3" t="s">
        <v>164</v>
      </c>
      <c r="B74" t="s">
        <v>165</v>
      </c>
      <c r="C74">
        <v>9.1508000000000006E-2</v>
      </c>
      <c r="D74">
        <v>973978951</v>
      </c>
      <c r="E74">
        <v>44097780</v>
      </c>
      <c r="F74">
        <v>1.5019</v>
      </c>
      <c r="G74">
        <v>10646887322.070221</v>
      </c>
      <c r="H74">
        <v>3.8823601440828505E-2</v>
      </c>
      <c r="I74">
        <v>-3.0048907592840153</v>
      </c>
      <c r="J74" t="str">
        <f t="shared" si="15"/>
        <v>P</v>
      </c>
      <c r="K74" t="b">
        <f t="shared" si="16"/>
        <v>0</v>
      </c>
      <c r="L74" t="str">
        <f t="shared" si="17"/>
        <v>0.05-0.5</v>
      </c>
      <c r="M74">
        <f t="shared" si="18"/>
        <v>3548962439.701385</v>
      </c>
      <c r="N74" t="str">
        <f t="shared" si="19"/>
        <v>0-50</v>
      </c>
      <c r="O74" t="str">
        <f t="shared" si="22"/>
        <v>&gt;=10</v>
      </c>
      <c r="P74">
        <f t="shared" si="20"/>
        <v>9.1472487086185647E-2</v>
      </c>
      <c r="Q74">
        <f t="shared" si="21"/>
        <v>3.5512913814358948E-5</v>
      </c>
    </row>
    <row r="75" spans="1:17" x14ac:dyDescent="0.3">
      <c r="A75" s="3" t="s">
        <v>168</v>
      </c>
      <c r="B75" t="s">
        <v>169</v>
      </c>
      <c r="C75">
        <v>105.74</v>
      </c>
      <c r="D75">
        <v>963514617</v>
      </c>
      <c r="E75">
        <v>0</v>
      </c>
      <c r="F75">
        <v>0</v>
      </c>
      <c r="G75">
        <v>9112111</v>
      </c>
      <c r="H75">
        <v>0</v>
      </c>
      <c r="I75">
        <v>-0.12279210352319792</v>
      </c>
      <c r="J75" t="str">
        <f t="shared" si="15"/>
        <v>B</v>
      </c>
      <c r="K75" t="b">
        <f t="shared" si="16"/>
        <v>1</v>
      </c>
      <c r="L75" t="str">
        <f t="shared" si="17"/>
        <v>&gt;50</v>
      </c>
      <c r="M75">
        <f t="shared" si="18"/>
        <v>3037370.2924026321</v>
      </c>
      <c r="N75" t="str">
        <f t="shared" si="19"/>
        <v>&gt;50</v>
      </c>
      <c r="O75" t="str">
        <f t="shared" si="22"/>
        <v>Up to 10</v>
      </c>
      <c r="P75">
        <f t="shared" si="20"/>
        <v>105.74</v>
      </c>
      <c r="Q75">
        <f t="shared" si="21"/>
        <v>0</v>
      </c>
    </row>
    <row r="76" spans="1:17" x14ac:dyDescent="0.3">
      <c r="A76" s="3" t="s">
        <v>166</v>
      </c>
      <c r="B76" t="s">
        <v>167</v>
      </c>
      <c r="C76">
        <v>0.10625999999999999</v>
      </c>
      <c r="D76">
        <v>959107924</v>
      </c>
      <c r="E76">
        <v>66101808</v>
      </c>
      <c r="F76">
        <v>0.46399000000000001</v>
      </c>
      <c r="G76">
        <v>9026562500</v>
      </c>
      <c r="H76">
        <v>-0.92173924283602915</v>
      </c>
      <c r="I76">
        <v>-8.896123708383346</v>
      </c>
      <c r="J76" t="str">
        <f t="shared" si="15"/>
        <v>E</v>
      </c>
      <c r="K76" t="b">
        <f t="shared" si="16"/>
        <v>1</v>
      </c>
      <c r="L76" t="str">
        <f t="shared" si="17"/>
        <v>0.05-0.5</v>
      </c>
      <c r="M76">
        <f t="shared" si="18"/>
        <v>3008854163.3940454</v>
      </c>
      <c r="N76" t="str">
        <f t="shared" si="19"/>
        <v>0-50</v>
      </c>
      <c r="O76" t="str">
        <f t="shared" si="22"/>
        <v>&gt;=10</v>
      </c>
      <c r="P76">
        <f t="shared" si="20"/>
        <v>0.10724855199107514</v>
      </c>
      <c r="Q76">
        <f t="shared" si="21"/>
        <v>-9.885519910751428E-4</v>
      </c>
    </row>
    <row r="77" spans="1:17" x14ac:dyDescent="0.3">
      <c r="A77" s="3" t="s">
        <v>170</v>
      </c>
      <c r="B77" t="s">
        <v>171</v>
      </c>
      <c r="C77">
        <v>3.4611650000000001E-2</v>
      </c>
      <c r="D77">
        <v>949184238</v>
      </c>
      <c r="E77">
        <v>11030254</v>
      </c>
      <c r="F77">
        <v>1.4296800000000001</v>
      </c>
      <c r="G77">
        <v>27416658504.52483</v>
      </c>
      <c r="H77">
        <v>-1.2834753987679129E-2</v>
      </c>
      <c r="I77">
        <v>-6.3114970334573002</v>
      </c>
      <c r="J77" t="str">
        <f t="shared" si="15"/>
        <v>K</v>
      </c>
      <c r="K77" t="b">
        <f t="shared" si="16"/>
        <v>0</v>
      </c>
      <c r="L77" t="str">
        <f t="shared" si="17"/>
        <v>0-0.05</v>
      </c>
      <c r="M77">
        <f t="shared" si="18"/>
        <v>9138886166.0668316</v>
      </c>
      <c r="N77" t="str">
        <f t="shared" si="19"/>
        <v>0-50</v>
      </c>
      <c r="O77" t="str">
        <f t="shared" si="22"/>
        <v>Up to 10</v>
      </c>
      <c r="P77">
        <f t="shared" si="20"/>
        <v>3.4616092890362625E-2</v>
      </c>
      <c r="Q77">
        <f t="shared" si="21"/>
        <v>-4.4428903626242411E-6</v>
      </c>
    </row>
    <row r="78" spans="1:17" x14ac:dyDescent="0.3">
      <c r="A78" s="3" t="s">
        <v>172</v>
      </c>
      <c r="B78" t="s">
        <v>173</v>
      </c>
      <c r="C78">
        <v>0.26061099999999998</v>
      </c>
      <c r="D78">
        <v>887675558</v>
      </c>
      <c r="E78">
        <v>110048825</v>
      </c>
      <c r="F78">
        <v>8.4536599999999993</v>
      </c>
      <c r="G78">
        <v>3409949399.5384851</v>
      </c>
      <c r="H78">
        <v>-1.3984860526017806</v>
      </c>
      <c r="I78">
        <v>1.293213257277972</v>
      </c>
      <c r="J78" t="str">
        <f t="shared" si="15"/>
        <v>W</v>
      </c>
      <c r="K78" t="b">
        <f t="shared" si="16"/>
        <v>0</v>
      </c>
      <c r="L78" t="str">
        <f t="shared" si="17"/>
        <v>0.05-0.5</v>
      </c>
      <c r="M78">
        <f t="shared" si="18"/>
        <v>1136649799.8110707</v>
      </c>
      <c r="N78" t="str">
        <f t="shared" si="19"/>
        <v>0-50</v>
      </c>
      <c r="O78" t="str">
        <f t="shared" si="22"/>
        <v>Up to 10</v>
      </c>
      <c r="P78">
        <f t="shared" si="20"/>
        <v>0.26430730073681252</v>
      </c>
      <c r="Q78">
        <f t="shared" si="21"/>
        <v>-3.6963007368125411E-3</v>
      </c>
    </row>
    <row r="79" spans="1:17" x14ac:dyDescent="0.3">
      <c r="A79" s="3" t="s">
        <v>174</v>
      </c>
      <c r="B79" t="s">
        <v>175</v>
      </c>
      <c r="C79">
        <v>0.87499899999999997</v>
      </c>
      <c r="D79">
        <v>874989490</v>
      </c>
      <c r="E79">
        <v>6721641</v>
      </c>
      <c r="F79">
        <v>-1.7375499999999999</v>
      </c>
      <c r="G79">
        <v>1000000000</v>
      </c>
      <c r="H79">
        <v>-3.8154939888950794E-2</v>
      </c>
      <c r="I79">
        <v>-2.6357846277267436</v>
      </c>
      <c r="J79" t="str">
        <f t="shared" si="15"/>
        <v>N</v>
      </c>
      <c r="K79" t="b">
        <f t="shared" si="16"/>
        <v>0</v>
      </c>
      <c r="L79" t="str">
        <f t="shared" si="17"/>
        <v>0.5-5</v>
      </c>
      <c r="M79">
        <f t="shared" si="18"/>
        <v>333333332.44202012</v>
      </c>
      <c r="N79" t="str">
        <f t="shared" si="19"/>
        <v>0-50</v>
      </c>
      <c r="O79" t="str">
        <f t="shared" si="22"/>
        <v>Up to 10</v>
      </c>
      <c r="P79">
        <f t="shared" si="20"/>
        <v>0.87533298277340532</v>
      </c>
      <c r="Q79">
        <f t="shared" si="21"/>
        <v>-3.3398277340535021E-4</v>
      </c>
    </row>
    <row r="80" spans="1:17" x14ac:dyDescent="0.3">
      <c r="A80" s="3" t="s">
        <v>176</v>
      </c>
      <c r="B80" t="s">
        <v>177</v>
      </c>
      <c r="C80">
        <v>3.4954939999999997E-2</v>
      </c>
      <c r="D80">
        <v>799607364</v>
      </c>
      <c r="E80">
        <v>15591964</v>
      </c>
      <c r="F80">
        <v>1.4436500000000001</v>
      </c>
      <c r="G80">
        <v>22870992455</v>
      </c>
      <c r="H80">
        <v>0.14167470231893425</v>
      </c>
      <c r="I80">
        <v>-11.232735821622622</v>
      </c>
      <c r="J80" t="str">
        <f t="shared" si="15"/>
        <v>​</v>
      </c>
      <c r="K80" t="b">
        <f t="shared" si="16"/>
        <v>0</v>
      </c>
      <c r="L80" t="str">
        <f t="shared" si="17"/>
        <v>0-0.05</v>
      </c>
      <c r="M80">
        <f t="shared" si="18"/>
        <v>7623664147.9696465</v>
      </c>
      <c r="N80" t="str">
        <f t="shared" si="19"/>
        <v>0-50</v>
      </c>
      <c r="O80" t="str">
        <f t="shared" si="22"/>
        <v>Up to 10</v>
      </c>
      <c r="P80">
        <f t="shared" si="20"/>
        <v>3.490548775413136E-2</v>
      </c>
      <c r="Q80">
        <f t="shared" si="21"/>
        <v>4.9452245868636391E-5</v>
      </c>
    </row>
    <row r="81" spans="1:17" x14ac:dyDescent="0.3">
      <c r="A81" s="3" t="s">
        <v>178</v>
      </c>
      <c r="B81" t="s">
        <v>179</v>
      </c>
      <c r="C81">
        <v>9.2516000000000001E-2</v>
      </c>
      <c r="D81">
        <v>789993555</v>
      </c>
      <c r="E81">
        <v>34640427</v>
      </c>
      <c r="F81">
        <v>-0.55352999999999997</v>
      </c>
      <c r="G81">
        <v>8543764567.3127356</v>
      </c>
      <c r="H81">
        <v>0.27689853311011403</v>
      </c>
      <c r="I81">
        <v>4.4561859262116386</v>
      </c>
      <c r="J81" t="str">
        <f t="shared" si="15"/>
        <v>J</v>
      </c>
      <c r="K81" t="b">
        <f t="shared" si="16"/>
        <v>0</v>
      </c>
      <c r="L81" t="str">
        <f t="shared" si="17"/>
        <v>0.05-0.5</v>
      </c>
      <c r="M81">
        <f t="shared" si="18"/>
        <v>2847921524.0152736</v>
      </c>
      <c r="N81" t="str">
        <f t="shared" si="19"/>
        <v>0-50</v>
      </c>
      <c r="O81" t="str">
        <f t="shared" si="22"/>
        <v>Up to 10</v>
      </c>
      <c r="P81">
        <f t="shared" si="20"/>
        <v>9.2260531940417403E-2</v>
      </c>
      <c r="Q81">
        <f t="shared" si="21"/>
        <v>2.5546805958259755E-4</v>
      </c>
    </row>
    <row r="82" spans="1:17" x14ac:dyDescent="0.3">
      <c r="A82" s="3" t="s">
        <v>180</v>
      </c>
      <c r="B82" t="s">
        <v>181</v>
      </c>
      <c r="C82">
        <v>0.95929299999999995</v>
      </c>
      <c r="D82">
        <v>785803758</v>
      </c>
      <c r="E82">
        <v>48009124</v>
      </c>
      <c r="F82">
        <v>1.6013900000000001</v>
      </c>
      <c r="G82">
        <v>819317910.35773444</v>
      </c>
      <c r="H82">
        <v>-0.93372226689195204</v>
      </c>
      <c r="I82">
        <v>-7.019568455126433</v>
      </c>
      <c r="J82" t="str">
        <f t="shared" si="15"/>
        <v>A</v>
      </c>
      <c r="K82" t="b">
        <f t="shared" si="16"/>
        <v>1</v>
      </c>
      <c r="L82" t="str">
        <f t="shared" si="17"/>
        <v>0.5-5</v>
      </c>
      <c r="M82">
        <f t="shared" si="18"/>
        <v>273105967.46814793</v>
      </c>
      <c r="N82" t="str">
        <f t="shared" si="19"/>
        <v>0-50</v>
      </c>
      <c r="O82" t="str">
        <f t="shared" si="22"/>
        <v>Up to 10</v>
      </c>
      <c r="P82">
        <f t="shared" si="20"/>
        <v>0.96833455536141877</v>
      </c>
      <c r="Q82">
        <f t="shared" si="21"/>
        <v>-9.0415553614188182E-3</v>
      </c>
    </row>
    <row r="83" spans="1:17" x14ac:dyDescent="0.3">
      <c r="A83" s="3" t="s">
        <v>182</v>
      </c>
      <c r="B83" t="s">
        <v>183</v>
      </c>
      <c r="C83">
        <v>16.89</v>
      </c>
      <c r="D83">
        <v>781616755</v>
      </c>
      <c r="E83">
        <v>108434656</v>
      </c>
      <c r="F83">
        <v>-2.3229099999999998</v>
      </c>
      <c r="G83">
        <v>46267307.575830609</v>
      </c>
      <c r="H83">
        <v>-5.6718009400309854E-2</v>
      </c>
      <c r="I83">
        <v>22.03687715400676</v>
      </c>
      <c r="J83" t="str">
        <f t="shared" si="15"/>
        <v>V</v>
      </c>
      <c r="K83" t="b">
        <f t="shared" si="16"/>
        <v>0</v>
      </c>
      <c r="L83" t="str">
        <f t="shared" si="17"/>
        <v>5-50</v>
      </c>
      <c r="M83">
        <f t="shared" si="18"/>
        <v>15422443.18532992</v>
      </c>
      <c r="N83" t="str">
        <f t="shared" si="19"/>
        <v>0-50</v>
      </c>
      <c r="O83" t="str">
        <f t="shared" si="22"/>
        <v>Up to 10</v>
      </c>
      <c r="P83">
        <f t="shared" si="20"/>
        <v>16.899585108270323</v>
      </c>
      <c r="Q83">
        <f t="shared" si="21"/>
        <v>-9.5851082703219959E-3</v>
      </c>
    </row>
    <row r="84" spans="1:17" x14ac:dyDescent="0.3">
      <c r="A84" s="3" t="s">
        <v>184</v>
      </c>
      <c r="B84" t="s">
        <v>185</v>
      </c>
      <c r="C84">
        <v>0.98548500000000006</v>
      </c>
      <c r="D84">
        <v>770554907</v>
      </c>
      <c r="E84">
        <v>67873335</v>
      </c>
      <c r="F84">
        <v>3.1208200000000001</v>
      </c>
      <c r="G84">
        <v>782029454</v>
      </c>
      <c r="H84">
        <v>-0.7649258471107746</v>
      </c>
      <c r="I84">
        <v>-5.4094864130691684</v>
      </c>
      <c r="J84" t="str">
        <f t="shared" si="15"/>
        <v>F</v>
      </c>
      <c r="K84" t="b">
        <f t="shared" si="16"/>
        <v>0</v>
      </c>
      <c r="L84" t="str">
        <f t="shared" si="17"/>
        <v>0.5-5</v>
      </c>
      <c r="M84">
        <f t="shared" si="18"/>
        <v>260676482.60852924</v>
      </c>
      <c r="N84" t="str">
        <f t="shared" si="19"/>
        <v>0-50</v>
      </c>
      <c r="O84" t="str">
        <f t="shared" si="22"/>
        <v>&gt;=10</v>
      </c>
      <c r="P84">
        <f t="shared" si="20"/>
        <v>0.99308133582052416</v>
      </c>
      <c r="Q84">
        <f t="shared" si="21"/>
        <v>-7.5963358205241027E-3</v>
      </c>
    </row>
    <row r="85" spans="1:17" x14ac:dyDescent="0.3">
      <c r="A85" s="3" t="s">
        <v>186</v>
      </c>
      <c r="B85" t="s">
        <v>187</v>
      </c>
      <c r="C85">
        <v>7.01</v>
      </c>
      <c r="D85">
        <v>745811006</v>
      </c>
      <c r="E85">
        <v>2262298</v>
      </c>
      <c r="F85">
        <v>0.16386999999999999</v>
      </c>
      <c r="G85">
        <v>106483509.17747104</v>
      </c>
      <c r="H85">
        <v>-0.93137384136615964</v>
      </c>
      <c r="I85">
        <v>-3.6393198685997072</v>
      </c>
      <c r="J85" t="str">
        <f t="shared" si="15"/>
        <v>G</v>
      </c>
      <c r="K85" t="b">
        <f t="shared" si="16"/>
        <v>0</v>
      </c>
      <c r="L85" t="str">
        <f t="shared" si="17"/>
        <v>5-50</v>
      </c>
      <c r="M85">
        <f t="shared" si="18"/>
        <v>35494501.535592444</v>
      </c>
      <c r="N85" t="str">
        <f t="shared" si="19"/>
        <v>0-50</v>
      </c>
      <c r="O85" t="str">
        <f t="shared" si="22"/>
        <v>Up to 10</v>
      </c>
      <c r="P85">
        <f t="shared" si="20"/>
        <v>7.0759031106126606</v>
      </c>
      <c r="Q85">
        <f t="shared" si="21"/>
        <v>-6.5903110612660853E-2</v>
      </c>
    </row>
    <row r="86" spans="1:17" x14ac:dyDescent="0.3">
      <c r="A86" s="3" t="s">
        <v>188</v>
      </c>
      <c r="B86" t="s">
        <v>189</v>
      </c>
      <c r="C86">
        <v>8.4871300000000007E-3</v>
      </c>
      <c r="D86">
        <v>732225757</v>
      </c>
      <c r="E86">
        <v>2918587</v>
      </c>
      <c r="F86">
        <v>2.0306500000000001</v>
      </c>
      <c r="G86">
        <v>86257463059.199478</v>
      </c>
      <c r="H86">
        <v>-0.28081130095493589</v>
      </c>
      <c r="I86">
        <v>-2.1574832681693898</v>
      </c>
      <c r="J86" t="str">
        <f t="shared" si="15"/>
        <v>F</v>
      </c>
      <c r="K86" t="b">
        <f t="shared" si="16"/>
        <v>0</v>
      </c>
      <c r="L86" t="str">
        <f t="shared" si="17"/>
        <v>0-0.05</v>
      </c>
      <c r="M86">
        <f t="shared" si="18"/>
        <v>28752487685.587063</v>
      </c>
      <c r="N86" t="str">
        <f t="shared" si="19"/>
        <v>0-50</v>
      </c>
      <c r="O86" t="str">
        <f t="shared" si="22"/>
        <v>Up to 10</v>
      </c>
      <c r="P86">
        <f t="shared" si="20"/>
        <v>8.5110299338819976E-3</v>
      </c>
      <c r="Q86">
        <f t="shared" si="21"/>
        <v>-2.3899933881996877E-5</v>
      </c>
    </row>
    <row r="87" spans="1:17" x14ac:dyDescent="0.3">
      <c r="A87" s="3" t="s">
        <v>190</v>
      </c>
      <c r="B87" t="s">
        <v>191</v>
      </c>
      <c r="C87">
        <v>3.5748380000000003E-2</v>
      </c>
      <c r="D87">
        <v>714263811</v>
      </c>
      <c r="E87">
        <v>32745443</v>
      </c>
      <c r="F87">
        <v>0.22980999999999999</v>
      </c>
      <c r="G87">
        <v>19946688440</v>
      </c>
      <c r="H87">
        <v>-3.2478520796764006E-2</v>
      </c>
      <c r="I87">
        <v>8.2376586786797397</v>
      </c>
      <c r="J87" t="str">
        <f t="shared" si="15"/>
        <v>X</v>
      </c>
      <c r="K87" t="b">
        <f t="shared" si="16"/>
        <v>0</v>
      </c>
      <c r="L87" t="str">
        <f t="shared" si="17"/>
        <v>0-0.05</v>
      </c>
      <c r="M87">
        <f t="shared" si="18"/>
        <v>6648896149.4017267</v>
      </c>
      <c r="N87" t="str">
        <f t="shared" si="19"/>
        <v>0-50</v>
      </c>
      <c r="O87" t="str">
        <f t="shared" si="22"/>
        <v>Up to 10</v>
      </c>
      <c r="P87">
        <f t="shared" si="20"/>
        <v>3.5759994317191235E-2</v>
      </c>
      <c r="Q87">
        <f t="shared" si="21"/>
        <v>-1.1614317191231682E-5</v>
      </c>
    </row>
    <row r="88" spans="1:17" x14ac:dyDescent="0.3">
      <c r="A88" s="3" t="s">
        <v>192</v>
      </c>
      <c r="B88" t="s">
        <v>193</v>
      </c>
      <c r="C88">
        <v>0.21218899999999999</v>
      </c>
      <c r="D88">
        <v>705339346</v>
      </c>
      <c r="E88">
        <v>38883116</v>
      </c>
      <c r="F88">
        <v>3.4136000000000002</v>
      </c>
      <c r="G88">
        <v>3320312968.0799999</v>
      </c>
      <c r="H88">
        <v>-1.3785026420975171</v>
      </c>
      <c r="I88">
        <v>-4.1658289097265229</v>
      </c>
      <c r="J88" t="str">
        <f t="shared" si="15"/>
        <v>J</v>
      </c>
      <c r="K88" t="b">
        <f t="shared" si="16"/>
        <v>0</v>
      </c>
      <c r="L88" t="str">
        <f t="shared" si="17"/>
        <v>0.05-0.5</v>
      </c>
      <c r="M88">
        <f t="shared" si="18"/>
        <v>1106770987.5118895</v>
      </c>
      <c r="N88" t="str">
        <f t="shared" si="19"/>
        <v>0-50</v>
      </c>
      <c r="O88" t="str">
        <f t="shared" si="22"/>
        <v>Up to 10</v>
      </c>
      <c r="P88">
        <f t="shared" si="20"/>
        <v>0.21515491620448146</v>
      </c>
      <c r="Q88">
        <f t="shared" si="21"/>
        <v>-2.9659162044814724E-3</v>
      </c>
    </row>
    <row r="89" spans="1:17" x14ac:dyDescent="0.3">
      <c r="A89" s="3" t="s">
        <v>194</v>
      </c>
      <c r="B89" t="s">
        <v>195</v>
      </c>
      <c r="C89">
        <v>0.11032599999999999</v>
      </c>
      <c r="D89">
        <v>690561431</v>
      </c>
      <c r="E89">
        <v>50658367</v>
      </c>
      <c r="F89">
        <v>-2.4925799999999998</v>
      </c>
      <c r="G89">
        <v>6255821492</v>
      </c>
      <c r="H89">
        <v>-1.1177254384630504</v>
      </c>
      <c r="I89">
        <v>-15.228825902003171</v>
      </c>
      <c r="J89" t="str">
        <f t="shared" si="15"/>
        <v>A</v>
      </c>
      <c r="K89" t="b">
        <f t="shared" si="16"/>
        <v>1</v>
      </c>
      <c r="L89" t="str">
        <f t="shared" si="17"/>
        <v>0.05-0.5</v>
      </c>
      <c r="M89">
        <f t="shared" si="18"/>
        <v>2085273825.2178164</v>
      </c>
      <c r="N89" t="str">
        <f t="shared" si="19"/>
        <v>0-50</v>
      </c>
      <c r="O89" t="str">
        <f t="shared" si="22"/>
        <v>Up to 10</v>
      </c>
      <c r="P89">
        <f t="shared" si="20"/>
        <v>0.11157308070552252</v>
      </c>
      <c r="Q89">
        <f t="shared" si="21"/>
        <v>-1.2470807055225269E-3</v>
      </c>
    </row>
    <row r="90" spans="1:17" x14ac:dyDescent="0.3">
      <c r="A90" s="3" t="s">
        <v>196</v>
      </c>
      <c r="B90" t="s">
        <v>197</v>
      </c>
      <c r="C90">
        <v>1.7726700000000001E-3</v>
      </c>
      <c r="D90">
        <v>628297399</v>
      </c>
      <c r="E90">
        <v>47532224</v>
      </c>
      <c r="F90">
        <v>3.70689</v>
      </c>
      <c r="G90">
        <v>354503454572.23492</v>
      </c>
      <c r="H90">
        <v>-0.75974920005497459</v>
      </c>
      <c r="I90">
        <v>-4.2158166934426378</v>
      </c>
      <c r="J90" t="str">
        <f t="shared" si="15"/>
        <v>P</v>
      </c>
      <c r="K90" t="b">
        <f t="shared" si="16"/>
        <v>0</v>
      </c>
      <c r="L90" t="str">
        <f t="shared" si="17"/>
        <v>0-0.05</v>
      </c>
      <c r="M90">
        <f t="shared" si="18"/>
        <v>118167818189.08644</v>
      </c>
      <c r="N90" t="str">
        <f t="shared" si="19"/>
        <v>0-50</v>
      </c>
      <c r="O90" t="str">
        <f t="shared" si="22"/>
        <v>Up to 10</v>
      </c>
      <c r="P90">
        <f t="shared" si="20"/>
        <v>1.7862409513388514E-3</v>
      </c>
      <c r="Q90">
        <f t="shared" si="21"/>
        <v>-1.3570951338851304E-5</v>
      </c>
    </row>
    <row r="91" spans="1:17" x14ac:dyDescent="0.3">
      <c r="A91" s="3" t="s">
        <v>198</v>
      </c>
      <c r="B91" t="s">
        <v>199</v>
      </c>
      <c r="C91">
        <v>13.39</v>
      </c>
      <c r="D91">
        <v>626921415</v>
      </c>
      <c r="E91">
        <v>10672926</v>
      </c>
      <c r="F91">
        <v>-4.5962100000000001</v>
      </c>
      <c r="G91">
        <v>46750552.583840348</v>
      </c>
      <c r="H91">
        <v>-1.4819695960968398</v>
      </c>
      <c r="I91">
        <v>9.1321532709053184</v>
      </c>
      <c r="J91" t="str">
        <f t="shared" si="15"/>
        <v>D</v>
      </c>
      <c r="K91" t="b">
        <f t="shared" si="16"/>
        <v>1</v>
      </c>
      <c r="L91" t="str">
        <f t="shared" si="17"/>
        <v>5-50</v>
      </c>
      <c r="M91">
        <f t="shared" si="18"/>
        <v>15583520.078008009</v>
      </c>
      <c r="N91" t="str">
        <f t="shared" si="19"/>
        <v>0-50</v>
      </c>
      <c r="O91" t="str">
        <f t="shared" si="22"/>
        <v>Up to 10</v>
      </c>
      <c r="P91">
        <f t="shared" si="20"/>
        <v>13.591420722789344</v>
      </c>
      <c r="Q91">
        <f t="shared" si="21"/>
        <v>-0.20142072278934364</v>
      </c>
    </row>
    <row r="92" spans="1:17" x14ac:dyDescent="0.3">
      <c r="A92" s="3" t="s">
        <v>200</v>
      </c>
      <c r="B92" t="s">
        <v>201</v>
      </c>
      <c r="C92">
        <v>48.18</v>
      </c>
      <c r="D92">
        <v>611780199</v>
      </c>
      <c r="E92">
        <v>251426107</v>
      </c>
      <c r="F92">
        <v>3.3366099999999999</v>
      </c>
      <c r="G92">
        <v>12700590.883829391</v>
      </c>
      <c r="H92">
        <v>0.37147373851804905</v>
      </c>
      <c r="I92">
        <v>9.2307544775422112</v>
      </c>
      <c r="J92" t="str">
        <f t="shared" si="15"/>
        <v>D</v>
      </c>
      <c r="K92" t="b">
        <f t="shared" si="16"/>
        <v>1</v>
      </c>
      <c r="L92" t="str">
        <f t="shared" si="17"/>
        <v>5-50</v>
      </c>
      <c r="M92">
        <f t="shared" si="18"/>
        <v>4233533.4953525355</v>
      </c>
      <c r="N92" t="str">
        <f t="shared" si="19"/>
        <v>0-50</v>
      </c>
      <c r="O92" t="str">
        <f t="shared" si="22"/>
        <v>&gt;=10</v>
      </c>
      <c r="P92">
        <f t="shared" si="20"/>
        <v>48.001686341196653</v>
      </c>
      <c r="Q92">
        <f t="shared" si="21"/>
        <v>0.17831365880334715</v>
      </c>
    </row>
    <row r="93" spans="1:17" x14ac:dyDescent="0.3">
      <c r="A93" s="3" t="s">
        <v>202</v>
      </c>
      <c r="B93" t="s">
        <v>203</v>
      </c>
      <c r="C93">
        <v>7.8797000000000006E-2</v>
      </c>
      <c r="D93">
        <v>609790101</v>
      </c>
      <c r="E93">
        <v>11772521</v>
      </c>
      <c r="F93">
        <v>-4.3470000000000002E-2</v>
      </c>
      <c r="G93">
        <v>7738210159.5190372</v>
      </c>
      <c r="H93">
        <v>-0.1827800413121955</v>
      </c>
      <c r="I93">
        <v>-0.14256689116433208</v>
      </c>
      <c r="J93" t="str">
        <f t="shared" si="15"/>
        <v>B</v>
      </c>
      <c r="K93" t="b">
        <f t="shared" si="16"/>
        <v>1</v>
      </c>
      <c r="L93" t="str">
        <f t="shared" si="17"/>
        <v>0.05-0.5</v>
      </c>
      <c r="M93">
        <f t="shared" si="18"/>
        <v>2579403386.3978968</v>
      </c>
      <c r="N93" t="str">
        <f t="shared" si="19"/>
        <v>0-50</v>
      </c>
      <c r="O93" t="str">
        <f t="shared" si="22"/>
        <v>&gt;=10</v>
      </c>
      <c r="P93">
        <f t="shared" si="20"/>
        <v>7.8941288920501271E-2</v>
      </c>
      <c r="Q93">
        <f t="shared" si="21"/>
        <v>-1.4428892050126485E-4</v>
      </c>
    </row>
    <row r="94" spans="1:17" x14ac:dyDescent="0.3">
      <c r="A94" s="3" t="s">
        <v>204</v>
      </c>
      <c r="B94" t="s">
        <v>205</v>
      </c>
      <c r="C94">
        <v>9.3138400000000003E-3</v>
      </c>
      <c r="D94">
        <v>585593972</v>
      </c>
      <c r="E94">
        <v>138903200</v>
      </c>
      <c r="F94">
        <v>5.4921699999999998</v>
      </c>
      <c r="G94">
        <v>62860396090</v>
      </c>
      <c r="H94">
        <v>0.10685062857596712</v>
      </c>
      <c r="I94">
        <v>3.7381059626018862</v>
      </c>
      <c r="J94" t="str">
        <f t="shared" si="15"/>
        <v>P</v>
      </c>
      <c r="K94" t="b">
        <f t="shared" si="16"/>
        <v>0</v>
      </c>
      <c r="L94" t="str">
        <f t="shared" si="17"/>
        <v>0-0.05</v>
      </c>
      <c r="M94">
        <f t="shared" si="18"/>
        <v>20953465364.614986</v>
      </c>
      <c r="N94" t="str">
        <f t="shared" si="19"/>
        <v>0-50</v>
      </c>
      <c r="O94" t="str">
        <f t="shared" si="22"/>
        <v>Up to 10</v>
      </c>
      <c r="P94">
        <f t="shared" si="20"/>
        <v>9.3038987257294883E-3</v>
      </c>
      <c r="Q94">
        <f t="shared" si="21"/>
        <v>9.9412742705119739E-6</v>
      </c>
    </row>
    <row r="95" spans="1:17" x14ac:dyDescent="0.3">
      <c r="A95" s="3" t="s">
        <v>206</v>
      </c>
      <c r="B95" t="s">
        <v>207</v>
      </c>
      <c r="C95">
        <v>0.99903600000000004</v>
      </c>
      <c r="D95">
        <v>583421585</v>
      </c>
      <c r="E95">
        <v>3117919</v>
      </c>
      <c r="F95">
        <v>9.6799999999999994E-3</v>
      </c>
      <c r="G95">
        <v>584000000</v>
      </c>
      <c r="H95">
        <v>1.0227157700040065E-2</v>
      </c>
      <c r="I95">
        <v>-2.7486512004468867E-2</v>
      </c>
      <c r="J95" t="str">
        <f t="shared" si="15"/>
        <v>G</v>
      </c>
      <c r="K95" t="b">
        <f t="shared" si="16"/>
        <v>0</v>
      </c>
      <c r="L95" t="str">
        <f t="shared" si="17"/>
        <v>0.5-5</v>
      </c>
      <c r="M95">
        <f t="shared" si="18"/>
        <v>194666666.66091356</v>
      </c>
      <c r="N95" t="str">
        <f t="shared" si="19"/>
        <v>0-50</v>
      </c>
      <c r="O95" t="str">
        <f t="shared" si="22"/>
        <v>Up to 10</v>
      </c>
      <c r="P95">
        <f t="shared" si="20"/>
        <v>0.99893383746112374</v>
      </c>
      <c r="Q95">
        <f t="shared" si="21"/>
        <v>1.0216253887629367E-4</v>
      </c>
    </row>
    <row r="96" spans="1:17" x14ac:dyDescent="0.3">
      <c r="A96" s="3" t="s">
        <v>208</v>
      </c>
      <c r="B96" t="s">
        <v>209</v>
      </c>
      <c r="C96">
        <v>6.5942500000000003E-3</v>
      </c>
      <c r="D96">
        <v>566928477</v>
      </c>
      <c r="E96">
        <v>11495143</v>
      </c>
      <c r="F96">
        <v>0.25842999999999999</v>
      </c>
      <c r="G96">
        <v>85985041177</v>
      </c>
      <c r="H96">
        <v>-0.43788924434869664</v>
      </c>
      <c r="I96">
        <v>-8.8862103991739332</v>
      </c>
      <c r="J96" t="str">
        <f t="shared" si="15"/>
        <v>V</v>
      </c>
      <c r="K96" t="b">
        <f t="shared" si="16"/>
        <v>0</v>
      </c>
      <c r="L96" t="str">
        <f t="shared" si="17"/>
        <v>0-0.05</v>
      </c>
      <c r="M96">
        <f t="shared" si="18"/>
        <v>28661680389.225296</v>
      </c>
      <c r="N96" t="str">
        <f t="shared" si="19"/>
        <v>0-50</v>
      </c>
      <c r="O96" t="str">
        <f t="shared" si="22"/>
        <v>Up to 10</v>
      </c>
      <c r="P96">
        <f t="shared" si="20"/>
        <v>6.6232525103689611E-3</v>
      </c>
      <c r="Q96">
        <f t="shared" si="21"/>
        <v>-2.9002510368960829E-5</v>
      </c>
    </row>
    <row r="97" spans="1:17" x14ac:dyDescent="0.3">
      <c r="A97" s="3" t="s">
        <v>210</v>
      </c>
      <c r="B97" t="s">
        <v>211</v>
      </c>
      <c r="C97">
        <v>115.31</v>
      </c>
      <c r="D97">
        <v>555161212</v>
      </c>
      <c r="E97">
        <v>0</v>
      </c>
      <c r="F97">
        <v>9.1900000000000003E-3</v>
      </c>
      <c r="G97">
        <v>4814710.1425328404</v>
      </c>
      <c r="H97">
        <v>0</v>
      </c>
      <c r="I97">
        <v>6.6172595311753374E-2</v>
      </c>
      <c r="J97" t="str">
        <f t="shared" si="15"/>
        <v>O</v>
      </c>
      <c r="K97" t="b">
        <f t="shared" si="16"/>
        <v>1</v>
      </c>
      <c r="L97" t="str">
        <f t="shared" si="17"/>
        <v>&gt;50</v>
      </c>
      <c r="M97">
        <f t="shared" si="18"/>
        <v>1604903.4029018118</v>
      </c>
      <c r="N97" t="str">
        <f t="shared" si="19"/>
        <v>&gt;50</v>
      </c>
      <c r="O97" t="str">
        <f t="shared" si="22"/>
        <v>Up to 10</v>
      </c>
      <c r="P97">
        <f t="shared" si="20"/>
        <v>115.31</v>
      </c>
      <c r="Q97">
        <f t="shared" si="21"/>
        <v>0</v>
      </c>
    </row>
    <row r="98" spans="1:17" x14ac:dyDescent="0.3">
      <c r="A98" s="3" t="s">
        <v>212</v>
      </c>
      <c r="B98" t="s">
        <v>213</v>
      </c>
      <c r="C98">
        <v>0.99855000000000005</v>
      </c>
      <c r="D98">
        <v>554746416</v>
      </c>
      <c r="E98">
        <v>1228302</v>
      </c>
      <c r="F98">
        <v>5.0619999999999998E-2</v>
      </c>
      <c r="G98">
        <v>555552300.31639993</v>
      </c>
      <c r="H98">
        <v>4.4487532887839989E-4</v>
      </c>
      <c r="I98">
        <v>5.8494212316431975E-2</v>
      </c>
      <c r="J98" t="str">
        <f t="shared" ref="J98:J129" si="23">LEFT(B98,1)</f>
        <v>U</v>
      </c>
      <c r="K98" t="b">
        <f t="shared" ref="K98:K129" si="24">OR(J98="A",J98="E",J98="I",J98="O",J98="U",J98="B",J98="C",J98="D")</f>
        <v>1</v>
      </c>
      <c r="L98" t="str">
        <f t="shared" ref="L98:L129" si="25">IF(C98&lt;=0.05,"0-0.05",IF(C98&lt;=0.5,"0.05-0.5",IF(C98&lt;=5,"0.5-5",IF(C98&lt;=50,"5-50","&gt;50"))))</f>
        <v>0.5-5</v>
      </c>
      <c r="M98">
        <f t="shared" ref="M98:M129" si="26">ABS(AVERAGE(G98,H98,I98))</f>
        <v>185184100.12511301</v>
      </c>
      <c r="N98" t="str">
        <f t="shared" ref="N98:N129" si="27">IF(C98&lt;=50,"0-50","&gt;50")</f>
        <v>0-50</v>
      </c>
      <c r="O98" t="str">
        <f t="shared" si="22"/>
        <v>&gt;=10</v>
      </c>
      <c r="P98">
        <f t="shared" ref="P98:P129" si="28">C98/(1+(H98/100))</f>
        <v>0.99854555771716602</v>
      </c>
      <c r="Q98">
        <f t="shared" ref="Q98:Q129" si="29">C98-P98</f>
        <v>4.4422828340273668E-6</v>
      </c>
    </row>
    <row r="99" spans="1:17" x14ac:dyDescent="0.3">
      <c r="A99" s="3" t="s">
        <v>214</v>
      </c>
      <c r="B99" t="s">
        <v>215</v>
      </c>
      <c r="C99">
        <v>6.1600000000000003E-6</v>
      </c>
      <c r="D99">
        <v>542162583</v>
      </c>
      <c r="E99">
        <v>34969387</v>
      </c>
      <c r="F99">
        <v>2.5339999999999998</v>
      </c>
      <c r="G99">
        <v>87994732460591.313</v>
      </c>
      <c r="H99">
        <v>-0.53513109172105677</v>
      </c>
      <c r="I99">
        <v>-9.2711236175321154</v>
      </c>
      <c r="J99" t="str">
        <f t="shared" si="23"/>
        <v>B</v>
      </c>
      <c r="K99" t="b">
        <f t="shared" si="24"/>
        <v>1</v>
      </c>
      <c r="L99" t="str">
        <f t="shared" si="25"/>
        <v>0-0.05</v>
      </c>
      <c r="M99">
        <f t="shared" si="26"/>
        <v>29331577486860.504</v>
      </c>
      <c r="N99" t="str">
        <f t="shared" si="27"/>
        <v>0-50</v>
      </c>
      <c r="O99" t="str">
        <f t="shared" si="22"/>
        <v>Up to 10</v>
      </c>
      <c r="P99">
        <f t="shared" si="28"/>
        <v>6.1931414253211499E-6</v>
      </c>
      <c r="Q99">
        <f t="shared" si="29"/>
        <v>-3.3141425321149549E-8</v>
      </c>
    </row>
    <row r="100" spans="1:17" x14ac:dyDescent="0.3">
      <c r="A100" s="3" t="s">
        <v>216</v>
      </c>
      <c r="B100" t="s">
        <v>217</v>
      </c>
      <c r="C100">
        <v>0.236182</v>
      </c>
      <c r="D100">
        <v>536559178</v>
      </c>
      <c r="E100">
        <v>30694234</v>
      </c>
      <c r="F100">
        <v>2.7501799999999998</v>
      </c>
      <c r="G100">
        <v>2273255814</v>
      </c>
      <c r="H100">
        <v>-0.29263925232682847</v>
      </c>
      <c r="I100">
        <v>5.8203748195879621</v>
      </c>
      <c r="J100" t="str">
        <f t="shared" si="23"/>
        <v>K</v>
      </c>
      <c r="K100" t="b">
        <f t="shared" si="24"/>
        <v>0</v>
      </c>
      <c r="L100" t="str">
        <f t="shared" si="25"/>
        <v>0.05-0.5</v>
      </c>
      <c r="M100">
        <f t="shared" si="26"/>
        <v>757751939.84257853</v>
      </c>
      <c r="N100" t="str">
        <f t="shared" si="27"/>
        <v>0-50</v>
      </c>
      <c r="O100" t="str">
        <f t="shared" si="22"/>
        <v>Up to 10</v>
      </c>
      <c r="P100">
        <f t="shared" si="28"/>
        <v>0.23687518978433264</v>
      </c>
      <c r="Q100">
        <f t="shared" si="29"/>
        <v>-6.9318978433263734E-4</v>
      </c>
    </row>
    <row r="101" spans="1:17" x14ac:dyDescent="0.3">
      <c r="A101" s="3" t="s">
        <v>218</v>
      </c>
      <c r="B101" t="s">
        <v>219</v>
      </c>
      <c r="C101">
        <v>1.004557E-2</v>
      </c>
      <c r="D101">
        <v>535073172</v>
      </c>
      <c r="E101">
        <v>11898.39</v>
      </c>
      <c r="F101">
        <v>-4.2564500000000001</v>
      </c>
      <c r="G101">
        <v>53241942609</v>
      </c>
      <c r="H101">
        <v>-6.1557530964273965</v>
      </c>
      <c r="I101">
        <v>-4.5766535204846894</v>
      </c>
      <c r="J101" t="str">
        <f t="shared" si="23"/>
        <v>P</v>
      </c>
      <c r="K101" t="b">
        <f t="shared" si="24"/>
        <v>0</v>
      </c>
      <c r="L101" t="str">
        <f t="shared" si="25"/>
        <v>0-0.05</v>
      </c>
      <c r="M101">
        <f t="shared" si="26"/>
        <v>17747314199.422531</v>
      </c>
      <c r="N101" t="str">
        <f t="shared" si="27"/>
        <v>0-50</v>
      </c>
      <c r="O101" t="str">
        <f t="shared" si="22"/>
        <v>Up to 10</v>
      </c>
      <c r="P101">
        <f t="shared" si="28"/>
        <v>1.0704513416067032E-2</v>
      </c>
      <c r="Q101">
        <f t="shared" si="29"/>
        <v>-6.589434160670319E-4</v>
      </c>
    </row>
    <row r="102" spans="1:17" x14ac:dyDescent="0.3">
      <c r="A102" s="3" t="s">
        <v>220</v>
      </c>
      <c r="B102" t="s">
        <v>221</v>
      </c>
      <c r="C102">
        <v>1.299224E-2</v>
      </c>
      <c r="D102">
        <v>509421258</v>
      </c>
      <c r="E102">
        <v>78284</v>
      </c>
      <c r="F102">
        <v>4.8166700000000002</v>
      </c>
      <c r="G102">
        <v>39209890572.960739</v>
      </c>
      <c r="H102">
        <v>0.74374329820953344</v>
      </c>
      <c r="I102">
        <v>0.75623263296258847</v>
      </c>
      <c r="J102" t="str">
        <f t="shared" si="23"/>
        <v>A</v>
      </c>
      <c r="K102" t="b">
        <f t="shared" si="24"/>
        <v>1</v>
      </c>
      <c r="L102" t="str">
        <f t="shared" si="25"/>
        <v>0-0.05</v>
      </c>
      <c r="M102">
        <f t="shared" si="26"/>
        <v>13069963524.820238</v>
      </c>
      <c r="N102" t="str">
        <f t="shared" si="27"/>
        <v>0-50</v>
      </c>
      <c r="O102" t="str">
        <f t="shared" si="22"/>
        <v>Up to 10</v>
      </c>
      <c r="P102">
        <f t="shared" si="28"/>
        <v>1.2896324451178998E-2</v>
      </c>
      <c r="Q102">
        <f t="shared" si="29"/>
        <v>9.5915548821002769E-5</v>
      </c>
    </row>
    <row r="103" spans="1:17" x14ac:dyDescent="0.3">
      <c r="A103" s="3" t="s">
        <v>222</v>
      </c>
      <c r="B103" t="s">
        <v>223</v>
      </c>
      <c r="C103">
        <v>0.99986399999999998</v>
      </c>
      <c r="D103">
        <v>504635570</v>
      </c>
      <c r="E103">
        <v>2026087</v>
      </c>
      <c r="F103">
        <v>1.2239999999999999E-2</v>
      </c>
      <c r="G103">
        <v>504704181.41000003</v>
      </c>
      <c r="H103">
        <v>5.8097547618077491E-3</v>
      </c>
      <c r="I103">
        <v>1.4835584255099897E-2</v>
      </c>
      <c r="J103" t="str">
        <f t="shared" si="23"/>
        <v>Y</v>
      </c>
      <c r="K103" t="b">
        <f t="shared" si="24"/>
        <v>0</v>
      </c>
      <c r="L103" t="str">
        <f t="shared" si="25"/>
        <v>0.5-5</v>
      </c>
      <c r="M103">
        <f t="shared" si="26"/>
        <v>168234727.14354846</v>
      </c>
      <c r="N103" t="str">
        <f t="shared" si="27"/>
        <v>0-50</v>
      </c>
      <c r="O103" t="str">
        <f t="shared" si="22"/>
        <v>Up to 10</v>
      </c>
      <c r="P103">
        <f t="shared" si="28"/>
        <v>0.99980591372831829</v>
      </c>
      <c r="Q103">
        <f t="shared" si="29"/>
        <v>5.8086271681689894E-5</v>
      </c>
    </row>
    <row r="104" spans="1:17" x14ac:dyDescent="0.3">
      <c r="A104" s="3" t="s">
        <v>224</v>
      </c>
      <c r="B104" t="s">
        <v>225</v>
      </c>
      <c r="C104">
        <v>3.027649E-2</v>
      </c>
      <c r="D104">
        <v>500335866</v>
      </c>
      <c r="E104">
        <v>68767187</v>
      </c>
      <c r="F104">
        <v>-1.4766300000000001</v>
      </c>
      <c r="G104">
        <v>16607399400.634951</v>
      </c>
      <c r="H104">
        <v>0.53323550554772248</v>
      </c>
      <c r="I104">
        <v>-6.7427124026041891</v>
      </c>
      <c r="J104" t="str">
        <f t="shared" si="23"/>
        <v>M</v>
      </c>
      <c r="K104" t="b">
        <f>OR(UPPER(TRIM(J2))="A",UPPER(TRIM(J2))="E",UPPER(TRIM(J2))="I",UPPER(TRIM(J2))="O",UPPER(TRIM(J2))="U",UPPER(TRIM(J2))="B",UPPER(TRIM(J2))="C",UPPER(TRIM(J2))="D")</f>
        <v>1</v>
      </c>
      <c r="L104" t="str">
        <f t="shared" si="25"/>
        <v>0-0.05</v>
      </c>
      <c r="M104">
        <f t="shared" si="26"/>
        <v>5535799798.1418247</v>
      </c>
      <c r="N104" t="str">
        <f t="shared" si="27"/>
        <v>0-50</v>
      </c>
      <c r="O104" t="str">
        <f t="shared" si="22"/>
        <v>Up to 10</v>
      </c>
      <c r="P104">
        <f t="shared" si="28"/>
        <v>3.0115901321338907E-2</v>
      </c>
      <c r="Q104">
        <f t="shared" si="29"/>
        <v>1.605886786610923E-4</v>
      </c>
    </row>
    <row r="105" spans="1:17" x14ac:dyDescent="0.3">
      <c r="A105" s="3" t="s">
        <v>228</v>
      </c>
      <c r="B105" t="s">
        <v>229</v>
      </c>
      <c r="C105">
        <v>0.99854200000000004</v>
      </c>
      <c r="D105">
        <v>493826340</v>
      </c>
      <c r="E105">
        <v>9117214</v>
      </c>
      <c r="F105">
        <v>-4.6580000000000003E-2</v>
      </c>
      <c r="G105">
        <v>494515083</v>
      </c>
      <c r="H105">
        <v>-8.5989128240925403E-2</v>
      </c>
      <c r="I105">
        <v>-0.10563502589927184</v>
      </c>
      <c r="J105" t="str">
        <f t="shared" si="23"/>
        <v>T</v>
      </c>
      <c r="K105" t="b">
        <f t="shared" si="24"/>
        <v>0</v>
      </c>
      <c r="L105" t="str">
        <f t="shared" si="25"/>
        <v>0.5-5</v>
      </c>
      <c r="M105">
        <f t="shared" si="26"/>
        <v>164838360.93612528</v>
      </c>
      <c r="N105" t="str">
        <f t="shared" si="27"/>
        <v>0-50</v>
      </c>
      <c r="O105" t="str">
        <f t="shared" si="22"/>
        <v>Up to 10</v>
      </c>
      <c r="P105">
        <f t="shared" si="28"/>
        <v>0.99940137653130712</v>
      </c>
      <c r="Q105">
        <f t="shared" si="29"/>
        <v>-8.593765313070767E-4</v>
      </c>
    </row>
    <row r="106" spans="1:17" x14ac:dyDescent="0.3">
      <c r="A106" s="3" t="s">
        <v>226</v>
      </c>
      <c r="B106" t="s">
        <v>227</v>
      </c>
      <c r="C106">
        <v>4.93</v>
      </c>
      <c r="D106">
        <v>493155119</v>
      </c>
      <c r="E106">
        <v>100075977</v>
      </c>
      <c r="F106">
        <v>-0.23676</v>
      </c>
      <c r="G106">
        <v>100000000</v>
      </c>
      <c r="H106">
        <v>-0.94066156139839119</v>
      </c>
      <c r="I106">
        <v>-1.8249166526109768</v>
      </c>
      <c r="J106" t="str">
        <f t="shared" si="23"/>
        <v>I</v>
      </c>
      <c r="K106" t="b">
        <f t="shared" si="24"/>
        <v>1</v>
      </c>
      <c r="L106" t="str">
        <f t="shared" si="25"/>
        <v>0.5-5</v>
      </c>
      <c r="M106">
        <f t="shared" si="26"/>
        <v>33333332.41147393</v>
      </c>
      <c r="N106" t="str">
        <f t="shared" si="27"/>
        <v>0-50</v>
      </c>
      <c r="O106" t="str">
        <f t="shared" si="22"/>
        <v>Up to 10</v>
      </c>
      <c r="P106">
        <f t="shared" si="28"/>
        <v>4.9768149855509929</v>
      </c>
      <c r="Q106">
        <f t="shared" si="29"/>
        <v>-4.6814985550993171E-2</v>
      </c>
    </row>
    <row r="107" spans="1:17" x14ac:dyDescent="0.3">
      <c r="A107" s="3" t="s">
        <v>230</v>
      </c>
      <c r="B107" t="s">
        <v>231</v>
      </c>
      <c r="C107">
        <v>0.99967799999999996</v>
      </c>
      <c r="D107">
        <v>491551696</v>
      </c>
      <c r="E107">
        <v>6534951</v>
      </c>
      <c r="F107">
        <v>7.9900000000000006E-3</v>
      </c>
      <c r="G107">
        <v>491720349.27916372</v>
      </c>
      <c r="H107">
        <v>3.1267460640867009E-3</v>
      </c>
      <c r="I107">
        <v>-1.3009006591644962E-2</v>
      </c>
      <c r="J107" t="str">
        <f t="shared" si="23"/>
        <v>a</v>
      </c>
      <c r="K107" t="b">
        <f t="shared" si="24"/>
        <v>1</v>
      </c>
      <c r="L107" t="str">
        <f t="shared" si="25"/>
        <v>0.5-5</v>
      </c>
      <c r="M107">
        <f t="shared" si="26"/>
        <v>163906783.08976048</v>
      </c>
      <c r="N107" t="str">
        <f t="shared" si="27"/>
        <v>0-50</v>
      </c>
      <c r="O107" t="str">
        <f t="shared" si="22"/>
        <v>Up to 10</v>
      </c>
      <c r="P107">
        <f t="shared" si="28"/>
        <v>0.99964674358479011</v>
      </c>
      <c r="Q107">
        <f t="shared" si="29"/>
        <v>3.1256415209846011E-5</v>
      </c>
    </row>
    <row r="108" spans="1:17" x14ac:dyDescent="0.3">
      <c r="A108" s="3" t="s">
        <v>234</v>
      </c>
      <c r="B108" t="s">
        <v>235</v>
      </c>
      <c r="C108">
        <v>1.38</v>
      </c>
      <c r="D108">
        <v>484016676</v>
      </c>
      <c r="E108">
        <v>9308078</v>
      </c>
      <c r="F108">
        <v>0.50178</v>
      </c>
      <c r="G108">
        <v>350000000</v>
      </c>
      <c r="H108">
        <v>0.85723729515254488</v>
      </c>
      <c r="I108">
        <v>1.396854929538426</v>
      </c>
      <c r="J108" t="str">
        <f t="shared" si="23"/>
        <v>e</v>
      </c>
      <c r="K108" t="b">
        <f t="shared" si="24"/>
        <v>1</v>
      </c>
      <c r="L108" t="str">
        <f t="shared" si="25"/>
        <v>0.5-5</v>
      </c>
      <c r="M108">
        <f t="shared" si="26"/>
        <v>116666667.41803074</v>
      </c>
      <c r="N108" t="str">
        <f t="shared" si="27"/>
        <v>0-50</v>
      </c>
      <c r="O108" t="str">
        <f t="shared" si="22"/>
        <v>Up to 10</v>
      </c>
      <c r="P108">
        <f t="shared" si="28"/>
        <v>1.368270673488224</v>
      </c>
      <c r="Q108">
        <f t="shared" si="29"/>
        <v>1.1729326511775939E-2</v>
      </c>
    </row>
    <row r="109" spans="1:17" x14ac:dyDescent="0.3">
      <c r="A109" s="3" t="s">
        <v>232</v>
      </c>
      <c r="B109" t="s">
        <v>233</v>
      </c>
      <c r="C109">
        <v>2.04</v>
      </c>
      <c r="D109">
        <v>483210114</v>
      </c>
      <c r="E109">
        <v>59723454</v>
      </c>
      <c r="F109">
        <v>-0.16904</v>
      </c>
      <c r="G109">
        <v>237414040.342428</v>
      </c>
      <c r="H109">
        <v>-0.80213476534117634</v>
      </c>
      <c r="I109">
        <v>-13.813769668634448</v>
      </c>
      <c r="J109" t="str">
        <f t="shared" si="23"/>
        <v>O</v>
      </c>
      <c r="K109" t="b">
        <f t="shared" si="24"/>
        <v>1</v>
      </c>
      <c r="L109" t="str">
        <f t="shared" si="25"/>
        <v>0.5-5</v>
      </c>
      <c r="M109">
        <f t="shared" si="26"/>
        <v>79138008.575507864</v>
      </c>
      <c r="N109" t="str">
        <f t="shared" si="27"/>
        <v>0-50</v>
      </c>
      <c r="O109" t="str">
        <f t="shared" si="22"/>
        <v>Up to 10</v>
      </c>
      <c r="P109">
        <f t="shared" si="28"/>
        <v>2.0564958683074992</v>
      </c>
      <c r="Q109">
        <f t="shared" si="29"/>
        <v>-1.6495868307499162E-2</v>
      </c>
    </row>
    <row r="110" spans="1:17" x14ac:dyDescent="0.3">
      <c r="A110" s="3" t="s">
        <v>236</v>
      </c>
      <c r="B110" t="s">
        <v>237</v>
      </c>
      <c r="C110">
        <v>0.73280100000000004</v>
      </c>
      <c r="D110">
        <v>481511519</v>
      </c>
      <c r="E110">
        <v>51906066</v>
      </c>
      <c r="F110">
        <v>1.76427</v>
      </c>
      <c r="G110">
        <v>656986027.21708381</v>
      </c>
      <c r="H110">
        <v>-0.91518623852076797</v>
      </c>
      <c r="I110">
        <v>-4.6572740844001377</v>
      </c>
      <c r="J110" t="str">
        <f t="shared" si="23"/>
        <v>V</v>
      </c>
      <c r="K110" t="b">
        <f t="shared" si="24"/>
        <v>0</v>
      </c>
      <c r="L110" t="str">
        <f t="shared" si="25"/>
        <v>0.5-5</v>
      </c>
      <c r="M110">
        <f t="shared" si="26"/>
        <v>218995340.54820779</v>
      </c>
      <c r="N110" t="str">
        <f t="shared" si="27"/>
        <v>0-50</v>
      </c>
      <c r="O110" t="str">
        <f t="shared" si="22"/>
        <v>Up to 10</v>
      </c>
      <c r="P110">
        <f t="shared" si="28"/>
        <v>0.73956943771830341</v>
      </c>
      <c r="Q110">
        <f t="shared" si="29"/>
        <v>-6.7684377183033773E-3</v>
      </c>
    </row>
    <row r="111" spans="1:17" x14ac:dyDescent="0.3">
      <c r="A111" s="3" t="s">
        <v>238</v>
      </c>
      <c r="B111" t="s">
        <v>239</v>
      </c>
      <c r="C111">
        <v>1.45</v>
      </c>
      <c r="D111">
        <v>473253637</v>
      </c>
      <c r="E111">
        <v>26951217</v>
      </c>
      <c r="F111">
        <v>2.7536999999999998</v>
      </c>
      <c r="G111">
        <v>325805256.9312923</v>
      </c>
      <c r="H111">
        <v>4.1447496129224208E-2</v>
      </c>
      <c r="I111">
        <v>-4.5586737825745454</v>
      </c>
      <c r="J111" t="str">
        <f t="shared" si="23"/>
        <v>P</v>
      </c>
      <c r="K111" t="b">
        <f t="shared" si="24"/>
        <v>0</v>
      </c>
      <c r="L111" t="str">
        <f t="shared" si="25"/>
        <v>0.5-5</v>
      </c>
      <c r="M111">
        <f t="shared" si="26"/>
        <v>108601750.80468868</v>
      </c>
      <c r="N111" t="str">
        <f t="shared" si="27"/>
        <v>0-50</v>
      </c>
      <c r="O111" t="str">
        <f t="shared" si="22"/>
        <v>Up to 10</v>
      </c>
      <c r="P111">
        <f t="shared" si="28"/>
        <v>1.4493992602976911</v>
      </c>
      <c r="Q111">
        <f t="shared" si="29"/>
        <v>6.0073970230889451E-4</v>
      </c>
    </row>
    <row r="112" spans="1:17" x14ac:dyDescent="0.3">
      <c r="A112" s="3" t="s">
        <v>240</v>
      </c>
      <c r="B112" t="s">
        <v>241</v>
      </c>
      <c r="C112">
        <v>0.248942</v>
      </c>
      <c r="D112">
        <v>454150391</v>
      </c>
      <c r="E112">
        <v>229213280</v>
      </c>
      <c r="F112">
        <v>2.8649</v>
      </c>
      <c r="G112">
        <v>1825000000</v>
      </c>
      <c r="H112">
        <v>-2.0648232511594364</v>
      </c>
      <c r="I112">
        <v>-2.3655724660467539</v>
      </c>
      <c r="J112" t="str">
        <f t="shared" si="23"/>
        <v>H</v>
      </c>
      <c r="K112" t="b">
        <f t="shared" si="24"/>
        <v>0</v>
      </c>
      <c r="L112" t="str">
        <f t="shared" si="25"/>
        <v>0.05-0.5</v>
      </c>
      <c r="M112">
        <f t="shared" si="26"/>
        <v>608333331.85653484</v>
      </c>
      <c r="N112" t="str">
        <f t="shared" si="27"/>
        <v>0-50</v>
      </c>
      <c r="O112" t="str">
        <f t="shared" si="22"/>
        <v>Up to 10</v>
      </c>
      <c r="P112">
        <f t="shared" si="28"/>
        <v>0.254190586328775</v>
      </c>
      <c r="Q112">
        <f t="shared" si="29"/>
        <v>-5.2485863287750067E-3</v>
      </c>
    </row>
    <row r="113" spans="1:17" x14ac:dyDescent="0.3">
      <c r="A113" s="3" t="s">
        <v>242</v>
      </c>
      <c r="B113" t="s">
        <v>243</v>
      </c>
      <c r="C113">
        <v>0.24349899999999999</v>
      </c>
      <c r="D113">
        <v>450568187</v>
      </c>
      <c r="E113">
        <v>7230788</v>
      </c>
      <c r="F113">
        <v>2.0144600000000001</v>
      </c>
      <c r="G113">
        <v>1845898459.4012599</v>
      </c>
      <c r="H113">
        <v>-0.38965096199466137</v>
      </c>
      <c r="I113">
        <v>-9.2811525963922445</v>
      </c>
      <c r="J113" t="str">
        <f t="shared" si="23"/>
        <v>S</v>
      </c>
      <c r="K113" t="b">
        <f t="shared" si="24"/>
        <v>0</v>
      </c>
      <c r="L113" t="str">
        <f t="shared" si="25"/>
        <v>0.05-0.5</v>
      </c>
      <c r="M113">
        <f t="shared" si="26"/>
        <v>615299483.24348545</v>
      </c>
      <c r="N113" t="str">
        <f t="shared" si="27"/>
        <v>0-50</v>
      </c>
      <c r="O113" t="str">
        <f t="shared" si="22"/>
        <v>Up to 10</v>
      </c>
      <c r="P113">
        <f t="shared" si="28"/>
        <v>0.24445150765117324</v>
      </c>
      <c r="Q113">
        <f t="shared" si="29"/>
        <v>-9.5250765117324554E-4</v>
      </c>
    </row>
    <row r="114" spans="1:17" x14ac:dyDescent="0.3">
      <c r="A114" s="3" t="s">
        <v>244</v>
      </c>
      <c r="B114" t="s">
        <v>245</v>
      </c>
      <c r="C114">
        <v>4.3249959999999997E-2</v>
      </c>
      <c r="D114">
        <v>448688448</v>
      </c>
      <c r="E114">
        <v>84052258</v>
      </c>
      <c r="F114">
        <v>-7.3443399999999999</v>
      </c>
      <c r="G114">
        <v>10372142749</v>
      </c>
      <c r="H114">
        <v>-1.1358438426370945</v>
      </c>
      <c r="I114">
        <v>1.7245388111977915</v>
      </c>
      <c r="J114" t="str">
        <f t="shared" si="23"/>
        <v>C</v>
      </c>
      <c r="K114" t="b">
        <f t="shared" si="24"/>
        <v>1</v>
      </c>
      <c r="L114" t="str">
        <f t="shared" si="25"/>
        <v>0-0.05</v>
      </c>
      <c r="M114">
        <f t="shared" si="26"/>
        <v>3457380916.5295653</v>
      </c>
      <c r="N114" t="str">
        <f t="shared" si="27"/>
        <v>0-50</v>
      </c>
      <c r="O114" t="str">
        <f t="shared" si="22"/>
        <v>Up to 10</v>
      </c>
      <c r="P114">
        <f t="shared" si="28"/>
        <v>4.3746855969881211E-2</v>
      </c>
      <c r="Q114">
        <f t="shared" si="29"/>
        <v>-4.9689596988121421E-4</v>
      </c>
    </row>
    <row r="115" spans="1:17" ht="28.8" x14ac:dyDescent="0.3">
      <c r="A115" s="3" t="s">
        <v>248</v>
      </c>
      <c r="B115" t="s">
        <v>249</v>
      </c>
      <c r="C115">
        <v>0.43762800000000002</v>
      </c>
      <c r="D115">
        <v>437904814</v>
      </c>
      <c r="E115">
        <v>15983599</v>
      </c>
      <c r="F115">
        <v>-0.85145000000000004</v>
      </c>
      <c r="G115">
        <v>1000000000</v>
      </c>
      <c r="H115">
        <v>0.41786221904224868</v>
      </c>
      <c r="I115">
        <v>13.129260580405759</v>
      </c>
      <c r="J115" t="str">
        <f t="shared" si="23"/>
        <v>币</v>
      </c>
      <c r="K115" t="b">
        <f t="shared" si="24"/>
        <v>0</v>
      </c>
      <c r="L115" t="str">
        <f t="shared" si="25"/>
        <v>0.05-0.5</v>
      </c>
      <c r="M115">
        <f t="shared" si="26"/>
        <v>333333337.84904093</v>
      </c>
      <c r="N115" t="str">
        <f t="shared" si="27"/>
        <v>0-50</v>
      </c>
      <c r="O115" t="str">
        <f t="shared" si="22"/>
        <v>Up to 10</v>
      </c>
      <c r="P115">
        <f t="shared" si="28"/>
        <v>0.43580692750200029</v>
      </c>
      <c r="Q115">
        <f t="shared" si="29"/>
        <v>1.8210724979997317E-3</v>
      </c>
    </row>
    <row r="116" spans="1:17" x14ac:dyDescent="0.3">
      <c r="A116" s="3" t="s">
        <v>246</v>
      </c>
      <c r="B116" t="s">
        <v>247</v>
      </c>
      <c r="C116">
        <v>0.19362299999999999</v>
      </c>
      <c r="D116">
        <v>437557298</v>
      </c>
      <c r="E116">
        <v>47546131</v>
      </c>
      <c r="F116">
        <v>1.5843400000000001</v>
      </c>
      <c r="G116">
        <v>2258865649.6699901</v>
      </c>
      <c r="H116">
        <v>-1.2785764690005983</v>
      </c>
      <c r="I116">
        <v>-8.2902450202843294</v>
      </c>
      <c r="J116" t="str">
        <f t="shared" si="23"/>
        <v>A</v>
      </c>
      <c r="K116" t="b">
        <f t="shared" si="24"/>
        <v>1</v>
      </c>
      <c r="L116" t="str">
        <f t="shared" si="25"/>
        <v>0.05-0.5</v>
      </c>
      <c r="M116">
        <f t="shared" si="26"/>
        <v>752955213.36705625</v>
      </c>
      <c r="N116" t="str">
        <f t="shared" si="27"/>
        <v>0-50</v>
      </c>
      <c r="O116" t="str">
        <f t="shared" si="22"/>
        <v>Up to 10</v>
      </c>
      <c r="P116">
        <f t="shared" si="28"/>
        <v>0.19613068073233431</v>
      </c>
      <c r="Q116">
        <f t="shared" si="29"/>
        <v>-2.5076807323343164E-3</v>
      </c>
    </row>
    <row r="117" spans="1:17" x14ac:dyDescent="0.3">
      <c r="A117" s="3" t="s">
        <v>250</v>
      </c>
      <c r="B117" t="s">
        <v>251</v>
      </c>
      <c r="C117">
        <v>1.1599999999999999</v>
      </c>
      <c r="D117">
        <v>433989659</v>
      </c>
      <c r="E117">
        <v>36447491</v>
      </c>
      <c r="F117">
        <v>0.30115999999999998</v>
      </c>
      <c r="G117">
        <v>373181744.18950713</v>
      </c>
      <c r="H117">
        <v>2.3664700818693984E-2</v>
      </c>
      <c r="I117">
        <v>-0.69619386757828416</v>
      </c>
      <c r="J117" t="str">
        <f t="shared" si="23"/>
        <v>E</v>
      </c>
      <c r="K117" t="b">
        <f t="shared" si="24"/>
        <v>1</v>
      </c>
      <c r="L117" t="str">
        <f t="shared" si="25"/>
        <v>0.5-5</v>
      </c>
      <c r="M117">
        <f t="shared" si="26"/>
        <v>124393914.50565933</v>
      </c>
      <c r="N117" t="str">
        <f t="shared" si="27"/>
        <v>0-50</v>
      </c>
      <c r="O117" t="str">
        <f t="shared" si="22"/>
        <v>Up to 10</v>
      </c>
      <c r="P117">
        <f t="shared" si="28"/>
        <v>1.1597255544172291</v>
      </c>
      <c r="Q117">
        <f t="shared" si="29"/>
        <v>2.7444558277078812E-4</v>
      </c>
    </row>
    <row r="118" spans="1:17" x14ac:dyDescent="0.3">
      <c r="A118" s="3" t="s">
        <v>252</v>
      </c>
      <c r="B118" t="s">
        <v>253</v>
      </c>
      <c r="C118">
        <v>1.0349999999999999</v>
      </c>
      <c r="D118">
        <v>429767674</v>
      </c>
      <c r="E118">
        <v>0</v>
      </c>
      <c r="F118">
        <v>7.92E-3</v>
      </c>
      <c r="G118">
        <v>415205583.586546</v>
      </c>
      <c r="H118">
        <v>0</v>
      </c>
      <c r="I118">
        <v>6.4771723179184532E-2</v>
      </c>
      <c r="J118" t="str">
        <f t="shared" si="23"/>
        <v>J</v>
      </c>
      <c r="K118" t="b">
        <f t="shared" si="24"/>
        <v>0</v>
      </c>
      <c r="L118" t="str">
        <f t="shared" si="25"/>
        <v>0.5-5</v>
      </c>
      <c r="M118">
        <f t="shared" si="26"/>
        <v>138401861.2171059</v>
      </c>
      <c r="N118" t="str">
        <f t="shared" si="27"/>
        <v>0-50</v>
      </c>
      <c r="O118" t="str">
        <f t="shared" si="22"/>
        <v>Up to 10</v>
      </c>
      <c r="P118">
        <f t="shared" si="28"/>
        <v>1.0349999999999999</v>
      </c>
      <c r="Q118">
        <f t="shared" si="29"/>
        <v>0</v>
      </c>
    </row>
    <row r="119" spans="1:17" x14ac:dyDescent="0.3">
      <c r="A119" s="3" t="s">
        <v>254</v>
      </c>
      <c r="B119" t="s">
        <v>255</v>
      </c>
      <c r="C119">
        <v>7.6660000000000001E-5</v>
      </c>
      <c r="D119">
        <v>424658922</v>
      </c>
      <c r="E119">
        <v>27081895</v>
      </c>
      <c r="F119">
        <v>-0.44874999999999998</v>
      </c>
      <c r="G119">
        <v>5541784362846.4395</v>
      </c>
      <c r="H119">
        <v>-0.47084749742235543</v>
      </c>
      <c r="I119">
        <v>-6.4015324491412908</v>
      </c>
      <c r="J119" t="str">
        <f t="shared" si="23"/>
        <v>T</v>
      </c>
      <c r="K119" t="b">
        <f t="shared" si="24"/>
        <v>0</v>
      </c>
      <c r="L119" t="str">
        <f t="shared" si="25"/>
        <v>0-0.05</v>
      </c>
      <c r="M119">
        <f t="shared" si="26"/>
        <v>1847261454279.8557</v>
      </c>
      <c r="N119" t="str">
        <f t="shared" si="27"/>
        <v>0-50</v>
      </c>
      <c r="O119" t="str">
        <f t="shared" si="22"/>
        <v>Up to 10</v>
      </c>
      <c r="P119">
        <f t="shared" si="28"/>
        <v>7.7022659263590763E-5</v>
      </c>
      <c r="Q119">
        <f t="shared" si="29"/>
        <v>-3.6265926359076151E-7</v>
      </c>
    </row>
    <row r="120" spans="1:17" x14ac:dyDescent="0.3">
      <c r="A120" s="3" t="s">
        <v>256</v>
      </c>
      <c r="B120" t="s">
        <v>257</v>
      </c>
      <c r="C120">
        <v>1.17</v>
      </c>
      <c r="D120">
        <v>423338746</v>
      </c>
      <c r="E120">
        <v>0</v>
      </c>
      <c r="F120">
        <v>0.35361999999999999</v>
      </c>
      <c r="G120">
        <v>362314056.11365998</v>
      </c>
      <c r="H120">
        <v>5.9546031291912063E-2</v>
      </c>
      <c r="I120">
        <v>-0.67442482501248802</v>
      </c>
      <c r="J120" t="str">
        <f t="shared" si="23"/>
        <v>S</v>
      </c>
      <c r="K120" t="b">
        <f t="shared" si="24"/>
        <v>0</v>
      </c>
      <c r="L120" t="str">
        <f t="shared" si="25"/>
        <v>0.5-5</v>
      </c>
      <c r="M120">
        <f t="shared" si="26"/>
        <v>120771351.83292706</v>
      </c>
      <c r="N120" t="str">
        <f t="shared" si="27"/>
        <v>0-50</v>
      </c>
      <c r="O120" t="str">
        <f t="shared" si="22"/>
        <v>Up to 10</v>
      </c>
      <c r="P120">
        <f t="shared" si="28"/>
        <v>1.1693037260373964</v>
      </c>
      <c r="Q120">
        <f t="shared" si="29"/>
        <v>6.9627396260352192E-4</v>
      </c>
    </row>
    <row r="121" spans="1:17" x14ac:dyDescent="0.3">
      <c r="A121" s="3" t="s">
        <v>258</v>
      </c>
      <c r="B121" t="s">
        <v>259</v>
      </c>
      <c r="C121">
        <v>6.2087999999999997E-2</v>
      </c>
      <c r="D121">
        <v>418018926</v>
      </c>
      <c r="E121">
        <v>29203894</v>
      </c>
      <c r="F121">
        <v>2.1103700000000001</v>
      </c>
      <c r="G121">
        <v>6733333333</v>
      </c>
      <c r="H121">
        <v>-0.56684600329461188</v>
      </c>
      <c r="I121">
        <v>-6.3570964510338115</v>
      </c>
      <c r="J121" t="str">
        <f t="shared" si="23"/>
        <v>S</v>
      </c>
      <c r="K121" t="b">
        <f t="shared" si="24"/>
        <v>0</v>
      </c>
      <c r="L121" t="str">
        <f t="shared" si="25"/>
        <v>0.05-0.5</v>
      </c>
      <c r="M121">
        <f t="shared" si="26"/>
        <v>2244444442.0253525</v>
      </c>
      <c r="N121" t="str">
        <f t="shared" si="27"/>
        <v>0-50</v>
      </c>
      <c r="O121" t="str">
        <f t="shared" si="22"/>
        <v>Up to 10</v>
      </c>
      <c r="P121">
        <f t="shared" si="28"/>
        <v>6.2441949696232318E-2</v>
      </c>
      <c r="Q121">
        <f t="shared" si="29"/>
        <v>-3.5394969623232103E-4</v>
      </c>
    </row>
    <row r="122" spans="1:17" x14ac:dyDescent="0.3">
      <c r="A122" s="3" t="s">
        <v>260</v>
      </c>
      <c r="B122" t="s">
        <v>261</v>
      </c>
      <c r="C122">
        <v>3.88</v>
      </c>
      <c r="D122">
        <v>404429250</v>
      </c>
      <c r="E122">
        <v>1889176</v>
      </c>
      <c r="F122">
        <v>0.31663000000000002</v>
      </c>
      <c r="G122">
        <v>104035514.216296</v>
      </c>
      <c r="H122">
        <v>4.6932999382679169E-2</v>
      </c>
      <c r="I122">
        <v>-3.5257451525254302</v>
      </c>
      <c r="J122" t="str">
        <f t="shared" si="23"/>
        <v>A</v>
      </c>
      <c r="K122" t="b">
        <f t="shared" si="24"/>
        <v>1</v>
      </c>
      <c r="L122" t="str">
        <f t="shared" si="25"/>
        <v>0.5-5</v>
      </c>
      <c r="M122">
        <f t="shared" si="26"/>
        <v>34678503.579161279</v>
      </c>
      <c r="N122" t="str">
        <f t="shared" si="27"/>
        <v>0-50</v>
      </c>
      <c r="O122" t="str">
        <f t="shared" si="22"/>
        <v>Up to 10</v>
      </c>
      <c r="P122">
        <f t="shared" si="28"/>
        <v>3.8781798538731227</v>
      </c>
      <c r="Q122">
        <f t="shared" si="29"/>
        <v>1.8201461268771979E-3</v>
      </c>
    </row>
    <row r="123" spans="1:17" x14ac:dyDescent="0.3">
      <c r="A123" s="3" t="s">
        <v>262</v>
      </c>
      <c r="B123" t="s">
        <v>263</v>
      </c>
      <c r="C123">
        <v>0.99956999999999996</v>
      </c>
      <c r="D123">
        <v>403596301</v>
      </c>
      <c r="E123">
        <v>311449</v>
      </c>
      <c r="F123">
        <v>1.243E-2</v>
      </c>
      <c r="G123">
        <v>403769806.46639901</v>
      </c>
      <c r="H123">
        <v>-2.2825705710728492E-2</v>
      </c>
      <c r="I123">
        <v>-2.1964573362665721E-2</v>
      </c>
      <c r="J123" t="str">
        <f t="shared" si="23"/>
        <v>U</v>
      </c>
      <c r="K123" t="b">
        <f t="shared" si="24"/>
        <v>1</v>
      </c>
      <c r="L123" t="str">
        <f t="shared" si="25"/>
        <v>0.5-5</v>
      </c>
      <c r="M123">
        <f t="shared" si="26"/>
        <v>134589935.47386959</v>
      </c>
      <c r="N123" t="str">
        <f t="shared" si="27"/>
        <v>0-50</v>
      </c>
      <c r="O123" t="str">
        <f t="shared" si="22"/>
        <v>Up to 10</v>
      </c>
      <c r="P123">
        <f t="shared" si="28"/>
        <v>0.99979821099734334</v>
      </c>
      <c r="Q123">
        <f t="shared" si="29"/>
        <v>-2.2821099734338102E-4</v>
      </c>
    </row>
    <row r="124" spans="1:17" x14ac:dyDescent="0.3">
      <c r="A124" s="3" t="s">
        <v>264</v>
      </c>
      <c r="B124" t="s">
        <v>265</v>
      </c>
      <c r="C124">
        <v>0.42183399999999999</v>
      </c>
      <c r="D124">
        <v>397874983</v>
      </c>
      <c r="E124">
        <v>17468330</v>
      </c>
      <c r="F124">
        <v>2.6947700000000001</v>
      </c>
      <c r="G124">
        <v>941492288.46712077</v>
      </c>
      <c r="H124">
        <v>-0.15854028913523016</v>
      </c>
      <c r="I124">
        <v>-8.5827582618479568</v>
      </c>
      <c r="J124" t="str">
        <f t="shared" si="23"/>
        <v>A</v>
      </c>
      <c r="K124" t="b">
        <f t="shared" si="24"/>
        <v>1</v>
      </c>
      <c r="L124" t="str">
        <f t="shared" si="25"/>
        <v>0.05-0.5</v>
      </c>
      <c r="M124">
        <f t="shared" si="26"/>
        <v>313830759.90860742</v>
      </c>
      <c r="N124" t="str">
        <f t="shared" si="27"/>
        <v>0-50</v>
      </c>
      <c r="O124" t="str">
        <f t="shared" si="22"/>
        <v>Up to 10</v>
      </c>
      <c r="P124">
        <f t="shared" si="28"/>
        <v>0.42250383880765308</v>
      </c>
      <c r="Q124">
        <f t="shared" si="29"/>
        <v>-6.6983880765308923E-4</v>
      </c>
    </row>
    <row r="125" spans="1:17" x14ac:dyDescent="0.3">
      <c r="A125" s="3" t="s">
        <v>266</v>
      </c>
      <c r="B125" t="s">
        <v>267</v>
      </c>
      <c r="C125">
        <v>2.0131980000000001E-2</v>
      </c>
      <c r="D125">
        <v>387067307</v>
      </c>
      <c r="E125">
        <v>56322029</v>
      </c>
      <c r="F125">
        <v>1.97557</v>
      </c>
      <c r="G125">
        <v>19225457928.14254</v>
      </c>
      <c r="H125">
        <v>9.6325534298319124E-2</v>
      </c>
      <c r="I125">
        <v>0.52114467459328628</v>
      </c>
      <c r="J125" t="str">
        <f t="shared" si="23"/>
        <v>S</v>
      </c>
      <c r="K125" t="b">
        <f t="shared" si="24"/>
        <v>0</v>
      </c>
      <c r="L125" t="str">
        <f t="shared" si="25"/>
        <v>0-0.05</v>
      </c>
      <c r="M125">
        <f t="shared" si="26"/>
        <v>6408485976.2533369</v>
      </c>
      <c r="N125" t="str">
        <f t="shared" si="27"/>
        <v>0-50</v>
      </c>
      <c r="O125" t="str">
        <f t="shared" si="22"/>
        <v>Up to 10</v>
      </c>
      <c r="P125">
        <f t="shared" si="28"/>
        <v>2.0112606424400378E-2</v>
      </c>
      <c r="Q125">
        <f t="shared" si="29"/>
        <v>1.9373575599623133E-5</v>
      </c>
    </row>
    <row r="126" spans="1:17" x14ac:dyDescent="0.3">
      <c r="A126" s="3" t="s">
        <v>268</v>
      </c>
      <c r="B126" t="s">
        <v>269</v>
      </c>
      <c r="C126">
        <v>0.11056000000000001</v>
      </c>
      <c r="D126">
        <v>383625865</v>
      </c>
      <c r="E126">
        <v>29664923</v>
      </c>
      <c r="F126">
        <v>18.121580000000002</v>
      </c>
      <c r="G126">
        <v>3469835660.1999998</v>
      </c>
      <c r="H126">
        <v>-1.1516376048372927</v>
      </c>
      <c r="I126">
        <v>5.5910979670554442</v>
      </c>
      <c r="J126" t="str">
        <f t="shared" si="23"/>
        <v>D</v>
      </c>
      <c r="K126" t="b">
        <f t="shared" si="24"/>
        <v>1</v>
      </c>
      <c r="L126" t="str">
        <f t="shared" si="25"/>
        <v>0.05-0.5</v>
      </c>
      <c r="M126">
        <f t="shared" si="26"/>
        <v>1156611888.2131534</v>
      </c>
      <c r="N126" t="str">
        <f t="shared" si="27"/>
        <v>0-50</v>
      </c>
      <c r="O126" t="str">
        <f t="shared" si="22"/>
        <v>Up to 10</v>
      </c>
      <c r="P126">
        <f t="shared" si="28"/>
        <v>0.11184808460257348</v>
      </c>
      <c r="Q126">
        <f t="shared" si="29"/>
        <v>-1.2880846025734721E-3</v>
      </c>
    </row>
    <row r="127" spans="1:17" x14ac:dyDescent="0.3">
      <c r="A127" s="3" t="s">
        <v>270</v>
      </c>
      <c r="B127" t="s">
        <v>271</v>
      </c>
      <c r="C127">
        <v>0.34807300000000002</v>
      </c>
      <c r="D127">
        <v>377793307</v>
      </c>
      <c r="E127">
        <v>11507726</v>
      </c>
      <c r="F127">
        <v>3.20601</v>
      </c>
      <c r="G127">
        <v>1085378408.734417</v>
      </c>
      <c r="H127">
        <v>-5.5739572009547003E-2</v>
      </c>
      <c r="I127">
        <v>-7.5705610687768541</v>
      </c>
      <c r="J127" t="str">
        <f t="shared" si="23"/>
        <v>T</v>
      </c>
      <c r="K127" t="b">
        <f t="shared" si="24"/>
        <v>0</v>
      </c>
      <c r="L127" t="str">
        <f t="shared" si="25"/>
        <v>0.05-0.5</v>
      </c>
      <c r="M127">
        <f t="shared" si="26"/>
        <v>361792800.36937207</v>
      </c>
      <c r="N127" t="str">
        <f t="shared" si="27"/>
        <v>0-50</v>
      </c>
      <c r="O127" t="str">
        <f t="shared" si="22"/>
        <v>Up to 10</v>
      </c>
      <c r="P127">
        <f t="shared" si="28"/>
        <v>0.34826712260358922</v>
      </c>
      <c r="Q127">
        <f t="shared" si="29"/>
        <v>-1.9412260358919742E-4</v>
      </c>
    </row>
    <row r="128" spans="1:17" x14ac:dyDescent="0.3">
      <c r="A128" s="3" t="s">
        <v>272</v>
      </c>
      <c r="B128" t="s">
        <v>273</v>
      </c>
      <c r="C128">
        <v>0.99834400000000001</v>
      </c>
      <c r="D128">
        <v>376487205</v>
      </c>
      <c r="E128">
        <v>25283227</v>
      </c>
      <c r="F128">
        <v>6.3159999999999994E-2</v>
      </c>
      <c r="G128">
        <v>377148541.66021597</v>
      </c>
      <c r="H128">
        <v>3.1897769888207458E-2</v>
      </c>
      <c r="I128">
        <v>4.5456217658799786E-2</v>
      </c>
      <c r="J128" t="str">
        <f t="shared" si="23"/>
        <v>F</v>
      </c>
      <c r="K128" t="b">
        <f t="shared" si="24"/>
        <v>0</v>
      </c>
      <c r="L128" t="str">
        <f t="shared" si="25"/>
        <v>0.5-5</v>
      </c>
      <c r="M128">
        <f t="shared" si="26"/>
        <v>125716180.57919</v>
      </c>
      <c r="N128" t="str">
        <f t="shared" si="27"/>
        <v>0-50</v>
      </c>
      <c r="O128" t="str">
        <f t="shared" si="22"/>
        <v>Up to 10</v>
      </c>
      <c r="P128">
        <f t="shared" si="28"/>
        <v>0.99802565207407612</v>
      </c>
      <c r="Q128">
        <f t="shared" si="29"/>
        <v>3.1834792592388972E-4</v>
      </c>
    </row>
    <row r="129" spans="1:17" x14ac:dyDescent="0.3">
      <c r="A129" s="3" t="s">
        <v>274</v>
      </c>
      <c r="B129" t="s">
        <v>275</v>
      </c>
      <c r="C129">
        <v>0.51069799999999999</v>
      </c>
      <c r="D129">
        <v>371173567</v>
      </c>
      <c r="E129">
        <v>8110258</v>
      </c>
      <c r="F129">
        <v>-5.1326999999999998</v>
      </c>
      <c r="G129">
        <v>726788283.04661047</v>
      </c>
      <c r="H129">
        <v>-0.83747680478302855</v>
      </c>
      <c r="I129">
        <v>-8.5946928314079685</v>
      </c>
      <c r="J129" t="str">
        <f t="shared" si="23"/>
        <v>S</v>
      </c>
      <c r="K129" t="b">
        <f t="shared" si="24"/>
        <v>0</v>
      </c>
      <c r="L129" t="str">
        <f t="shared" si="25"/>
        <v>0.5-5</v>
      </c>
      <c r="M129">
        <f t="shared" si="26"/>
        <v>242262757.87148026</v>
      </c>
      <c r="N129" t="str">
        <f t="shared" si="27"/>
        <v>0-50</v>
      </c>
      <c r="O129" t="str">
        <f t="shared" si="22"/>
        <v>Up to 10</v>
      </c>
      <c r="P129">
        <f t="shared" si="28"/>
        <v>0.51501109849192817</v>
      </c>
      <c r="Q129">
        <f t="shared" si="29"/>
        <v>-4.3130984919281801E-3</v>
      </c>
    </row>
    <row r="130" spans="1:17" x14ac:dyDescent="0.3">
      <c r="A130" s="3" t="s">
        <v>276</v>
      </c>
      <c r="B130" t="s">
        <v>277</v>
      </c>
      <c r="C130">
        <v>0.402478</v>
      </c>
      <c r="D130">
        <v>369700951</v>
      </c>
      <c r="E130">
        <v>36621677</v>
      </c>
      <c r="F130">
        <v>0.38993</v>
      </c>
      <c r="G130">
        <v>919932996.62250996</v>
      </c>
      <c r="H130">
        <v>-1.0742652871668881</v>
      </c>
      <c r="I130">
        <v>-10.773765529098862</v>
      </c>
      <c r="J130" t="str">
        <f t="shared" ref="J130:J161" si="30">LEFT(B130,1)</f>
        <v>C</v>
      </c>
      <c r="K130" t="b">
        <f t="shared" ref="K130:K161" si="31">OR(J130="A",J130="E",J130="I",J130="O",J130="U",J130="B",J130="C",J130="D")</f>
        <v>1</v>
      </c>
      <c r="L130" t="str">
        <f t="shared" ref="L130:L161" si="32">IF(C130&lt;=0.05,"0-0.05",IF(C130&lt;=0.5,"0.05-0.5",IF(C130&lt;=5,"0.5-5",IF(C130&lt;=50,"5-50","&gt;50"))))</f>
        <v>0.05-0.5</v>
      </c>
      <c r="M130">
        <f t="shared" ref="M130:M161" si="33">ABS(AVERAGE(G130,H130,I130))</f>
        <v>306644328.2581597</v>
      </c>
      <c r="N130" t="str">
        <f t="shared" ref="N130:N161" si="34">IF(C130&lt;=50,"0-50","&gt;50")</f>
        <v>0-50</v>
      </c>
      <c r="O130" t="str">
        <f t="shared" si="22"/>
        <v>Up to 10</v>
      </c>
      <c r="P130">
        <f t="shared" ref="P130:P161" si="35">C130/(1+(H130/100))</f>
        <v>0.40684863364253454</v>
      </c>
      <c r="Q130">
        <f t="shared" ref="Q130:Q161" si="36">C130-P130</f>
        <v>-4.3706336425345382E-3</v>
      </c>
    </row>
    <row r="131" spans="1:17" x14ac:dyDescent="0.3">
      <c r="A131" s="3" t="s">
        <v>278</v>
      </c>
      <c r="B131" t="s">
        <v>279</v>
      </c>
      <c r="C131">
        <v>6.0499999999999997E-6</v>
      </c>
      <c r="D131">
        <v>363183377</v>
      </c>
      <c r="E131">
        <v>98025282</v>
      </c>
      <c r="F131">
        <v>44.260750000000002</v>
      </c>
      <c r="G131">
        <v>60000000000000</v>
      </c>
      <c r="H131">
        <v>-4.7070535088897936</v>
      </c>
      <c r="J131" t="str">
        <f t="shared" si="30"/>
        <v>N</v>
      </c>
      <c r="K131" t="b">
        <f t="shared" si="31"/>
        <v>0</v>
      </c>
      <c r="L131" t="str">
        <f t="shared" si="32"/>
        <v>0-0.05</v>
      </c>
      <c r="M131">
        <f t="shared" si="33"/>
        <v>29999999999997.645</v>
      </c>
      <c r="N131" t="str">
        <f t="shared" si="34"/>
        <v>0-50</v>
      </c>
      <c r="O131" t="str">
        <f t="shared" si="22"/>
        <v>Up to 10</v>
      </c>
      <c r="P131">
        <f t="shared" si="35"/>
        <v>6.3488434588014329E-6</v>
      </c>
      <c r="Q131">
        <f t="shared" si="36"/>
        <v>-2.9884345880143324E-7</v>
      </c>
    </row>
    <row r="132" spans="1:17" x14ac:dyDescent="0.3">
      <c r="A132" s="3" t="s">
        <v>280</v>
      </c>
      <c r="B132" t="s">
        <v>281</v>
      </c>
      <c r="C132">
        <v>0.38855800000000001</v>
      </c>
      <c r="D132">
        <v>362010516</v>
      </c>
      <c r="E132">
        <v>6685043</v>
      </c>
      <c r="F132">
        <v>4.0667900000000001</v>
      </c>
      <c r="G132">
        <v>930993080.88700116</v>
      </c>
      <c r="H132">
        <v>-2.3028339129458826</v>
      </c>
      <c r="I132">
        <v>-6.3669849144861486</v>
      </c>
      <c r="J132" t="str">
        <f t="shared" si="30"/>
        <v>S</v>
      </c>
      <c r="K132" t="b">
        <f t="shared" si="31"/>
        <v>0</v>
      </c>
      <c r="L132" t="str">
        <f t="shared" si="32"/>
        <v>0.05-0.5</v>
      </c>
      <c r="M132">
        <f t="shared" si="33"/>
        <v>310331024.07239407</v>
      </c>
      <c r="N132" t="str">
        <f t="shared" si="34"/>
        <v>0-50</v>
      </c>
      <c r="O132" t="str">
        <f t="shared" ref="O132:O195" si="37">IF(C131&lt;10,"Up to 10","&gt;=10")</f>
        <v>Up to 10</v>
      </c>
      <c r="P132">
        <f t="shared" si="35"/>
        <v>0.39771675634252396</v>
      </c>
      <c r="Q132">
        <f t="shared" si="36"/>
        <v>-9.1587563425239438E-3</v>
      </c>
    </row>
    <row r="133" spans="1:17" x14ac:dyDescent="0.3">
      <c r="A133" s="3" t="s">
        <v>282</v>
      </c>
      <c r="B133" t="s">
        <v>283</v>
      </c>
      <c r="C133">
        <v>0.23450799999999999</v>
      </c>
      <c r="D133">
        <v>355648287</v>
      </c>
      <c r="E133">
        <v>30509859</v>
      </c>
      <c r="F133">
        <v>-1.0245599999999999</v>
      </c>
      <c r="G133">
        <v>1516426423</v>
      </c>
      <c r="H133">
        <v>-0.81519762586690392</v>
      </c>
      <c r="I133">
        <v>-11.845152085276656</v>
      </c>
      <c r="J133" t="str">
        <f t="shared" si="30"/>
        <v>C</v>
      </c>
      <c r="K133" t="b">
        <f t="shared" si="31"/>
        <v>1</v>
      </c>
      <c r="L133" t="str">
        <f t="shared" si="32"/>
        <v>0.05-0.5</v>
      </c>
      <c r="M133">
        <f t="shared" si="33"/>
        <v>505475470.1132167</v>
      </c>
      <c r="N133" t="str">
        <f t="shared" si="34"/>
        <v>0-50</v>
      </c>
      <c r="O133" t="str">
        <f t="shared" si="37"/>
        <v>Up to 10</v>
      </c>
      <c r="P133">
        <f t="shared" si="35"/>
        <v>0.23643541589710171</v>
      </c>
      <c r="Q133">
        <f t="shared" si="36"/>
        <v>-1.9274158971017141E-3</v>
      </c>
    </row>
    <row r="134" spans="1:17" x14ac:dyDescent="0.3">
      <c r="A134" s="3" t="s">
        <v>284</v>
      </c>
      <c r="B134" t="s">
        <v>285</v>
      </c>
      <c r="C134">
        <v>1.42</v>
      </c>
      <c r="D134">
        <v>354628761</v>
      </c>
      <c r="E134">
        <v>92731094</v>
      </c>
      <c r="F134">
        <v>18.801600000000001</v>
      </c>
      <c r="G134">
        <v>250000000</v>
      </c>
      <c r="H134">
        <v>3.0246675251777844</v>
      </c>
      <c r="I134">
        <v>59.317000667836965</v>
      </c>
      <c r="J134" t="str">
        <f t="shared" si="30"/>
        <v>L</v>
      </c>
      <c r="K134" t="b">
        <f t="shared" si="31"/>
        <v>0</v>
      </c>
      <c r="L134" t="str">
        <f t="shared" si="32"/>
        <v>0.5-5</v>
      </c>
      <c r="M134">
        <f t="shared" si="33"/>
        <v>83333354.113889396</v>
      </c>
      <c r="N134" t="str">
        <f t="shared" si="34"/>
        <v>0-50</v>
      </c>
      <c r="O134" t="str">
        <f t="shared" si="37"/>
        <v>Up to 10</v>
      </c>
      <c r="P134">
        <f t="shared" si="35"/>
        <v>1.3783106843348676</v>
      </c>
      <c r="Q134">
        <f t="shared" si="36"/>
        <v>4.1689315665132343E-2</v>
      </c>
    </row>
    <row r="135" spans="1:17" x14ac:dyDescent="0.3">
      <c r="A135" s="3" t="s">
        <v>286</v>
      </c>
      <c r="B135" t="s">
        <v>287</v>
      </c>
      <c r="C135">
        <v>1.38</v>
      </c>
      <c r="D135">
        <v>348203049</v>
      </c>
      <c r="E135">
        <v>21126160</v>
      </c>
      <c r="F135">
        <v>2.7849499999999998</v>
      </c>
      <c r="G135">
        <v>252331652.65365621</v>
      </c>
      <c r="H135">
        <v>-0.28837439042785062</v>
      </c>
      <c r="I135">
        <v>-1.6269764424295274</v>
      </c>
      <c r="J135" t="str">
        <f t="shared" si="30"/>
        <v>L</v>
      </c>
      <c r="K135" t="b">
        <f t="shared" si="31"/>
        <v>0</v>
      </c>
      <c r="L135" t="str">
        <f t="shared" si="32"/>
        <v>0.5-5</v>
      </c>
      <c r="M135">
        <f t="shared" si="33"/>
        <v>84110550.246101797</v>
      </c>
      <c r="N135" t="str">
        <f t="shared" si="34"/>
        <v>0-50</v>
      </c>
      <c r="O135" t="str">
        <f t="shared" si="37"/>
        <v>Up to 10</v>
      </c>
      <c r="P135">
        <f t="shared" si="35"/>
        <v>1.3839910758284961</v>
      </c>
      <c r="Q135">
        <f t="shared" si="36"/>
        <v>-3.9910758284962267E-3</v>
      </c>
    </row>
    <row r="136" spans="1:17" x14ac:dyDescent="0.3">
      <c r="A136" s="3" t="s">
        <v>288</v>
      </c>
      <c r="B136" t="s">
        <v>289</v>
      </c>
      <c r="C136">
        <v>144.13</v>
      </c>
      <c r="D136">
        <v>343922014</v>
      </c>
      <c r="E136">
        <v>68793</v>
      </c>
      <c r="F136">
        <v>0.59263999999999994</v>
      </c>
      <c r="G136">
        <v>2386227.8341999999</v>
      </c>
      <c r="H136">
        <v>-2.8582104671558547E-3</v>
      </c>
      <c r="I136">
        <v>-5.1785984029551404</v>
      </c>
      <c r="J136" t="str">
        <f t="shared" si="30"/>
        <v>K</v>
      </c>
      <c r="K136" t="b">
        <f t="shared" si="31"/>
        <v>0</v>
      </c>
      <c r="L136" t="str">
        <f t="shared" si="32"/>
        <v>&gt;50</v>
      </c>
      <c r="M136">
        <f t="shared" si="33"/>
        <v>795407.55091446219</v>
      </c>
      <c r="N136" t="str">
        <f t="shared" si="34"/>
        <v>&gt;50</v>
      </c>
      <c r="O136" t="str">
        <f t="shared" si="37"/>
        <v>Up to 10</v>
      </c>
      <c r="P136">
        <f t="shared" si="35"/>
        <v>144.13411965649476</v>
      </c>
      <c r="Q136">
        <f t="shared" si="36"/>
        <v>-4.1196564947654224E-3</v>
      </c>
    </row>
    <row r="137" spans="1:17" x14ac:dyDescent="0.3">
      <c r="A137" s="3" t="s">
        <v>290</v>
      </c>
      <c r="B137" t="s">
        <v>291</v>
      </c>
      <c r="C137">
        <v>0.34193800000000002</v>
      </c>
      <c r="D137">
        <v>341261678</v>
      </c>
      <c r="E137">
        <v>45081599</v>
      </c>
      <c r="F137">
        <v>6.5104600000000001</v>
      </c>
      <c r="G137">
        <v>998384107.78570163</v>
      </c>
      <c r="H137">
        <v>-0.58887890381040819</v>
      </c>
      <c r="I137">
        <v>-8.7695096850001288</v>
      </c>
      <c r="J137" t="str">
        <f t="shared" si="30"/>
        <v>S</v>
      </c>
      <c r="K137" t="b">
        <f t="shared" si="31"/>
        <v>0</v>
      </c>
      <c r="L137" t="str">
        <f t="shared" si="32"/>
        <v>0.05-0.5</v>
      </c>
      <c r="M137">
        <f t="shared" si="33"/>
        <v>332794699.47577101</v>
      </c>
      <c r="N137" t="str">
        <f t="shared" si="34"/>
        <v>0-50</v>
      </c>
      <c r="O137" t="str">
        <f t="shared" si="37"/>
        <v>&gt;=10</v>
      </c>
      <c r="P137">
        <f t="shared" si="35"/>
        <v>0.34396352865706331</v>
      </c>
      <c r="Q137">
        <f t="shared" si="36"/>
        <v>-2.0255286570632913E-3</v>
      </c>
    </row>
    <row r="138" spans="1:17" x14ac:dyDescent="0.3">
      <c r="A138" s="3" t="s">
        <v>292</v>
      </c>
      <c r="B138" t="s">
        <v>293</v>
      </c>
      <c r="C138">
        <v>0.38308399999999998</v>
      </c>
      <c r="D138">
        <v>337111194</v>
      </c>
      <c r="E138">
        <v>21651197</v>
      </c>
      <c r="F138">
        <v>1.26953</v>
      </c>
      <c r="G138">
        <v>880665741</v>
      </c>
      <c r="H138">
        <v>-0.57606204052743182</v>
      </c>
      <c r="I138">
        <v>-14.212334579290792</v>
      </c>
      <c r="J138" t="str">
        <f t="shared" si="30"/>
        <v>E</v>
      </c>
      <c r="K138" t="b">
        <f t="shared" si="31"/>
        <v>1</v>
      </c>
      <c r="L138" t="str">
        <f t="shared" si="32"/>
        <v>0.05-0.5</v>
      </c>
      <c r="M138">
        <f t="shared" si="33"/>
        <v>293555242.07053441</v>
      </c>
      <c r="N138" t="str">
        <f t="shared" si="34"/>
        <v>0-50</v>
      </c>
      <c r="O138" t="str">
        <f t="shared" si="37"/>
        <v>Up to 10</v>
      </c>
      <c r="P138">
        <f t="shared" si="35"/>
        <v>0.38530358770958523</v>
      </c>
      <c r="Q138">
        <f t="shared" si="36"/>
        <v>-2.2195877095852468E-3</v>
      </c>
    </row>
    <row r="139" spans="1:17" x14ac:dyDescent="0.3">
      <c r="A139" s="3" t="s">
        <v>294</v>
      </c>
      <c r="B139" t="s">
        <v>295</v>
      </c>
      <c r="C139">
        <v>4.3899999999999997</v>
      </c>
      <c r="D139">
        <v>334985849</v>
      </c>
      <c r="E139">
        <v>48256316</v>
      </c>
      <c r="F139">
        <v>6.68072</v>
      </c>
      <c r="G139">
        <v>76546099.142000005</v>
      </c>
      <c r="H139">
        <v>-2.8118704607825489E-2</v>
      </c>
      <c r="I139">
        <v>-19.852966232672596</v>
      </c>
      <c r="J139" t="str">
        <f t="shared" si="30"/>
        <v>L</v>
      </c>
      <c r="K139" t="b">
        <f t="shared" si="31"/>
        <v>0</v>
      </c>
      <c r="L139" t="str">
        <f t="shared" si="32"/>
        <v>0.5-5</v>
      </c>
      <c r="M139">
        <f t="shared" si="33"/>
        <v>25515359.753638357</v>
      </c>
      <c r="N139" t="str">
        <f t="shared" si="34"/>
        <v>0-50</v>
      </c>
      <c r="O139" t="str">
        <f t="shared" si="37"/>
        <v>Up to 10</v>
      </c>
      <c r="P139">
        <f t="shared" si="35"/>
        <v>4.3912347583303308</v>
      </c>
      <c r="Q139">
        <f t="shared" si="36"/>
        <v>-1.2347583303311538E-3</v>
      </c>
    </row>
    <row r="140" spans="1:17" x14ac:dyDescent="0.3">
      <c r="A140" s="3" t="s">
        <v>296</v>
      </c>
      <c r="B140" t="s">
        <v>297</v>
      </c>
      <c r="C140">
        <v>0.99989499999999998</v>
      </c>
      <c r="D140">
        <v>333547838</v>
      </c>
      <c r="E140">
        <v>7257522</v>
      </c>
      <c r="F140">
        <v>3.98E-3</v>
      </c>
      <c r="G140">
        <v>333556964.94</v>
      </c>
      <c r="H140">
        <v>1.4221386783271795E-2</v>
      </c>
      <c r="I140">
        <v>1.7999601673864142E-2</v>
      </c>
      <c r="J140" t="str">
        <f t="shared" si="30"/>
        <v>U</v>
      </c>
      <c r="K140" t="b">
        <f t="shared" si="31"/>
        <v>1</v>
      </c>
      <c r="L140" t="str">
        <f t="shared" si="32"/>
        <v>0.5-5</v>
      </c>
      <c r="M140">
        <f t="shared" si="33"/>
        <v>111185654.99074031</v>
      </c>
      <c r="N140" t="str">
        <f t="shared" si="34"/>
        <v>0-50</v>
      </c>
      <c r="O140" t="str">
        <f t="shared" si="37"/>
        <v>Up to 10</v>
      </c>
      <c r="P140">
        <f t="shared" si="35"/>
        <v>0.99975282128440857</v>
      </c>
      <c r="Q140">
        <f t="shared" si="36"/>
        <v>1.4217871559141226E-4</v>
      </c>
    </row>
    <row r="141" spans="1:17" x14ac:dyDescent="0.3">
      <c r="A141" s="3" t="s">
        <v>298</v>
      </c>
      <c r="B141" t="s">
        <v>299</v>
      </c>
      <c r="C141">
        <v>4.1979330000000002E-2</v>
      </c>
      <c r="D141">
        <v>330016214</v>
      </c>
      <c r="E141">
        <v>19421336</v>
      </c>
      <c r="F141">
        <v>3.4300099999999998</v>
      </c>
      <c r="G141">
        <v>7874982037.9407101</v>
      </c>
      <c r="H141">
        <v>-0.21228335426243777</v>
      </c>
      <c r="I141">
        <v>-16.762223293820089</v>
      </c>
      <c r="J141" t="str">
        <f t="shared" si="30"/>
        <v>P</v>
      </c>
      <c r="K141" t="b">
        <f t="shared" si="31"/>
        <v>0</v>
      </c>
      <c r="L141" t="str">
        <f t="shared" si="32"/>
        <v>0-0.05</v>
      </c>
      <c r="M141">
        <f t="shared" si="33"/>
        <v>2624994006.9887347</v>
      </c>
      <c r="N141" t="str">
        <f t="shared" si="34"/>
        <v>0-50</v>
      </c>
      <c r="O141" t="str">
        <f t="shared" si="37"/>
        <v>Up to 10</v>
      </c>
      <c r="P141">
        <f t="shared" si="35"/>
        <v>4.2068634708852366E-2</v>
      </c>
      <c r="Q141">
        <f t="shared" si="36"/>
        <v>-8.9304708852364079E-5</v>
      </c>
    </row>
    <row r="142" spans="1:17" x14ac:dyDescent="0.3">
      <c r="A142" s="3" t="s">
        <v>302</v>
      </c>
      <c r="B142" t="s">
        <v>303</v>
      </c>
      <c r="C142">
        <v>3.9454759999999998E-2</v>
      </c>
      <c r="D142">
        <v>323623916</v>
      </c>
      <c r="E142">
        <v>5586506</v>
      </c>
      <c r="F142">
        <v>-0.53420000000000001</v>
      </c>
      <c r="G142">
        <v>8199996134.3176603</v>
      </c>
      <c r="H142">
        <v>-2.2418454740153838E-2</v>
      </c>
      <c r="I142">
        <v>50.638513123721992</v>
      </c>
      <c r="J142" t="str">
        <f t="shared" si="30"/>
        <v>T</v>
      </c>
      <c r="K142" t="b">
        <f t="shared" si="31"/>
        <v>0</v>
      </c>
      <c r="L142" t="str">
        <f t="shared" si="32"/>
        <v>0-0.05</v>
      </c>
      <c r="M142">
        <f t="shared" si="33"/>
        <v>2733332061.6445851</v>
      </c>
      <c r="N142" t="str">
        <f t="shared" si="34"/>
        <v>0-50</v>
      </c>
      <c r="O142" t="str">
        <f t="shared" si="37"/>
        <v>Up to 10</v>
      </c>
      <c r="P142">
        <f t="shared" si="35"/>
        <v>3.9463607130903473E-2</v>
      </c>
      <c r="Q142">
        <f t="shared" si="36"/>
        <v>-8.8471309034748868E-6</v>
      </c>
    </row>
    <row r="143" spans="1:17" x14ac:dyDescent="0.3">
      <c r="A143" s="3" t="s">
        <v>300</v>
      </c>
      <c r="B143" t="s">
        <v>301</v>
      </c>
      <c r="C143">
        <v>2.7296379999999999E-2</v>
      </c>
      <c r="D143">
        <v>322783305</v>
      </c>
      <c r="E143">
        <v>48263165</v>
      </c>
      <c r="F143">
        <v>3.7958699999999999</v>
      </c>
      <c r="G143">
        <v>11825165000</v>
      </c>
      <c r="H143">
        <v>-1.1465244661153251</v>
      </c>
      <c r="I143">
        <v>-8.6853530736421334</v>
      </c>
      <c r="J143" t="str">
        <f t="shared" si="30"/>
        <v>M</v>
      </c>
      <c r="K143" t="b">
        <f t="shared" si="31"/>
        <v>0</v>
      </c>
      <c r="L143" t="str">
        <f t="shared" si="32"/>
        <v>0-0.05</v>
      </c>
      <c r="M143">
        <f t="shared" si="33"/>
        <v>3941721663.3893743</v>
      </c>
      <c r="N143" t="str">
        <f t="shared" si="34"/>
        <v>0-50</v>
      </c>
      <c r="O143" t="str">
        <f t="shared" si="37"/>
        <v>Up to 10</v>
      </c>
      <c r="P143">
        <f t="shared" si="35"/>
        <v>2.7612969450571755E-2</v>
      </c>
      <c r="Q143">
        <f t="shared" si="36"/>
        <v>-3.1658945057175605E-4</v>
      </c>
    </row>
    <row r="144" spans="1:17" x14ac:dyDescent="0.3">
      <c r="A144" s="3" t="s">
        <v>304</v>
      </c>
      <c r="B144" t="s">
        <v>305</v>
      </c>
      <c r="C144">
        <v>3.2307699999999998E-7</v>
      </c>
      <c r="D144">
        <v>319033223</v>
      </c>
      <c r="E144">
        <v>5240317</v>
      </c>
      <c r="F144">
        <v>0.52371000000000001</v>
      </c>
      <c r="G144">
        <v>987037885840674.75</v>
      </c>
      <c r="H144">
        <v>-0.14271893347297124</v>
      </c>
      <c r="I144">
        <v>-1.0899312208431138</v>
      </c>
      <c r="J144" t="str">
        <f t="shared" si="30"/>
        <v>B</v>
      </c>
      <c r="K144" t="b">
        <f t="shared" si="31"/>
        <v>1</v>
      </c>
      <c r="L144" t="str">
        <f t="shared" si="32"/>
        <v>0-0.05</v>
      </c>
      <c r="M144">
        <f t="shared" si="33"/>
        <v>329012628613557.81</v>
      </c>
      <c r="N144" t="str">
        <f t="shared" si="34"/>
        <v>0-50</v>
      </c>
      <c r="O144" t="str">
        <f t="shared" si="37"/>
        <v>Up to 10</v>
      </c>
      <c r="P144">
        <f t="shared" si="35"/>
        <v>3.2353875105487727E-7</v>
      </c>
      <c r="Q144">
        <f t="shared" si="36"/>
        <v>-4.6175105487729709E-10</v>
      </c>
    </row>
    <row r="145" spans="1:18" x14ac:dyDescent="0.3">
      <c r="A145" s="3" t="s">
        <v>306</v>
      </c>
      <c r="B145" t="s">
        <v>307</v>
      </c>
      <c r="C145">
        <v>1.84</v>
      </c>
      <c r="D145">
        <v>314028569</v>
      </c>
      <c r="E145">
        <v>54047516</v>
      </c>
      <c r="F145">
        <v>4.6445100000000004</v>
      </c>
      <c r="G145">
        <v>170452559.06856331</v>
      </c>
      <c r="H145">
        <v>-1.0454899598452905</v>
      </c>
      <c r="I145">
        <v>-7.1445817932159583</v>
      </c>
      <c r="J145" t="str">
        <f t="shared" si="30"/>
        <v>P</v>
      </c>
      <c r="K145" t="b">
        <f t="shared" si="31"/>
        <v>0</v>
      </c>
      <c r="L145" t="str">
        <f t="shared" si="32"/>
        <v>0.5-5</v>
      </c>
      <c r="M145">
        <f t="shared" si="33"/>
        <v>56817516.959497184</v>
      </c>
      <c r="N145" t="str">
        <f t="shared" si="34"/>
        <v>0-50</v>
      </c>
      <c r="O145" t="str">
        <f t="shared" si="37"/>
        <v>Up to 10</v>
      </c>
      <c r="P145">
        <f t="shared" si="35"/>
        <v>1.8594402612405916</v>
      </c>
      <c r="Q145">
        <f t="shared" si="36"/>
        <v>-1.9440261240591505E-2</v>
      </c>
    </row>
    <row r="146" spans="1:18" x14ac:dyDescent="0.3">
      <c r="A146" s="3" t="s">
        <v>308</v>
      </c>
      <c r="B146" t="s">
        <v>309</v>
      </c>
      <c r="C146">
        <v>118.67</v>
      </c>
      <c r="D146">
        <v>313442659</v>
      </c>
      <c r="E146">
        <v>2890738</v>
      </c>
      <c r="F146">
        <v>0.18432999999999999</v>
      </c>
      <c r="G146">
        <v>2639589</v>
      </c>
      <c r="H146">
        <v>-0.34598260317002993</v>
      </c>
      <c r="I146">
        <v>-6.5532931970090704</v>
      </c>
      <c r="J146" t="str">
        <f t="shared" si="30"/>
        <v>G</v>
      </c>
      <c r="K146" t="b">
        <f t="shared" si="31"/>
        <v>0</v>
      </c>
      <c r="L146" t="str">
        <f t="shared" si="32"/>
        <v>&gt;50</v>
      </c>
      <c r="M146">
        <f t="shared" si="33"/>
        <v>879860.70024139993</v>
      </c>
      <c r="N146" t="str">
        <f t="shared" si="34"/>
        <v>&gt;50</v>
      </c>
      <c r="O146" t="str">
        <f t="shared" si="37"/>
        <v>Up to 10</v>
      </c>
      <c r="P146">
        <f t="shared" si="35"/>
        <v>119.08200301393462</v>
      </c>
      <c r="Q146">
        <f t="shared" si="36"/>
        <v>-0.41200301393462269</v>
      </c>
    </row>
    <row r="147" spans="1:18" x14ac:dyDescent="0.3">
      <c r="A147" s="3" t="s">
        <v>310</v>
      </c>
      <c r="B147" t="s">
        <v>311</v>
      </c>
      <c r="C147">
        <v>5.2684000000000002E-2</v>
      </c>
      <c r="D147">
        <v>308436310</v>
      </c>
      <c r="E147">
        <v>16484410</v>
      </c>
      <c r="F147">
        <v>2.7868599999999999</v>
      </c>
      <c r="G147">
        <v>5856641747.1061983</v>
      </c>
      <c r="H147">
        <v>1.1304244275461957</v>
      </c>
      <c r="I147">
        <v>10.006767595255427</v>
      </c>
      <c r="J147" t="str">
        <f t="shared" si="30"/>
        <v>K</v>
      </c>
      <c r="K147" t="b">
        <f t="shared" si="31"/>
        <v>0</v>
      </c>
      <c r="L147" t="str">
        <f t="shared" si="32"/>
        <v>0.05-0.5</v>
      </c>
      <c r="M147">
        <f t="shared" si="33"/>
        <v>1952213919.4144633</v>
      </c>
      <c r="N147" t="str">
        <f t="shared" si="34"/>
        <v>0-50</v>
      </c>
      <c r="O147" t="str">
        <f t="shared" si="37"/>
        <v>&gt;=10</v>
      </c>
      <c r="P147">
        <f t="shared" si="35"/>
        <v>5.209510421638236E-2</v>
      </c>
      <c r="Q147">
        <f t="shared" si="36"/>
        <v>5.88895783617642E-4</v>
      </c>
    </row>
    <row r="148" spans="1:18" x14ac:dyDescent="0.3">
      <c r="A148" s="3" t="s">
        <v>312</v>
      </c>
      <c r="B148" t="s">
        <v>313</v>
      </c>
      <c r="C148">
        <v>1.0389999999999999</v>
      </c>
      <c r="D148">
        <v>307631661</v>
      </c>
      <c r="E148">
        <v>726444</v>
      </c>
      <c r="F148">
        <v>4.2520000000000002E-2</v>
      </c>
      <c r="G148">
        <v>296453053.72523397</v>
      </c>
      <c r="H148">
        <v>3.6413312387483326E-2</v>
      </c>
      <c r="I148">
        <v>0.17854974146975278</v>
      </c>
      <c r="J148" t="str">
        <f t="shared" si="30"/>
        <v>P</v>
      </c>
      <c r="K148" t="b">
        <f t="shared" si="31"/>
        <v>0</v>
      </c>
      <c r="L148" t="str">
        <f t="shared" si="32"/>
        <v>0.5-5</v>
      </c>
      <c r="M148">
        <f t="shared" si="33"/>
        <v>98817684.646732345</v>
      </c>
      <c r="N148" t="str">
        <f t="shared" si="34"/>
        <v>0-50</v>
      </c>
      <c r="O148" t="str">
        <f t="shared" si="37"/>
        <v>Up to 10</v>
      </c>
      <c r="P148">
        <f t="shared" si="35"/>
        <v>1.038621803398204</v>
      </c>
      <c r="Q148">
        <f t="shared" si="36"/>
        <v>3.7819660179594372E-4</v>
      </c>
    </row>
    <row r="149" spans="1:18" x14ac:dyDescent="0.3">
      <c r="A149" s="3" t="s">
        <v>314</v>
      </c>
      <c r="B149" t="s">
        <v>315</v>
      </c>
      <c r="C149">
        <v>0.358068</v>
      </c>
      <c r="D149">
        <v>304123790</v>
      </c>
      <c r="E149">
        <v>20127621</v>
      </c>
      <c r="F149">
        <v>0.12653</v>
      </c>
      <c r="G149">
        <v>849051956.28168392</v>
      </c>
      <c r="H149">
        <v>-0.99276731782324401</v>
      </c>
      <c r="I149">
        <v>-6.2938872758589577</v>
      </c>
      <c r="J149" t="str">
        <f t="shared" si="30"/>
        <v>L</v>
      </c>
      <c r="K149" t="b">
        <f t="shared" si="31"/>
        <v>0</v>
      </c>
      <c r="L149" t="str">
        <f t="shared" si="32"/>
        <v>0.05-0.5</v>
      </c>
      <c r="M149">
        <f t="shared" si="33"/>
        <v>283017316.33167642</v>
      </c>
      <c r="N149" t="str">
        <f t="shared" si="34"/>
        <v>0-50</v>
      </c>
      <c r="O149" t="str">
        <f t="shared" si="37"/>
        <v>Up to 10</v>
      </c>
      <c r="P149">
        <f t="shared" si="35"/>
        <v>0.36165842666205461</v>
      </c>
      <c r="Q149">
        <f t="shared" si="36"/>
        <v>-3.5904266620546132E-3</v>
      </c>
    </row>
    <row r="150" spans="1:18" x14ac:dyDescent="0.3">
      <c r="A150" s="3" t="s">
        <v>316</v>
      </c>
      <c r="B150" t="s">
        <v>317</v>
      </c>
      <c r="C150">
        <v>17.489999999999998</v>
      </c>
      <c r="D150">
        <v>303911650</v>
      </c>
      <c r="E150">
        <v>3033507</v>
      </c>
      <c r="F150">
        <v>3.3765800000000001</v>
      </c>
      <c r="G150">
        <v>17427448.512631599</v>
      </c>
      <c r="H150">
        <v>0.64918931790000312</v>
      </c>
      <c r="I150">
        <v>-6.1461130692192745</v>
      </c>
      <c r="J150" t="str">
        <f t="shared" si="30"/>
        <v>D</v>
      </c>
      <c r="K150" t="b">
        <f t="shared" si="31"/>
        <v>1</v>
      </c>
      <c r="L150" t="str">
        <f t="shared" si="32"/>
        <v>5-50</v>
      </c>
      <c r="M150">
        <f t="shared" si="33"/>
        <v>5809147.6719026165</v>
      </c>
      <c r="N150" t="str">
        <f t="shared" si="34"/>
        <v>0-50</v>
      </c>
      <c r="O150" t="str">
        <f t="shared" si="37"/>
        <v>Up to 10</v>
      </c>
      <c r="P150">
        <f t="shared" si="35"/>
        <v>17.377189144323768</v>
      </c>
      <c r="Q150">
        <f t="shared" si="36"/>
        <v>0.11281085567622995</v>
      </c>
    </row>
    <row r="151" spans="1:18" x14ac:dyDescent="0.3">
      <c r="A151" s="3" t="s">
        <v>318</v>
      </c>
      <c r="B151" t="s">
        <v>319</v>
      </c>
      <c r="C151">
        <v>15.02</v>
      </c>
      <c r="D151">
        <v>300746266</v>
      </c>
      <c r="E151">
        <v>6302323</v>
      </c>
      <c r="F151">
        <v>-5.7029999999999997E-2</v>
      </c>
      <c r="G151">
        <v>20031287.5</v>
      </c>
      <c r="H151">
        <v>-0.22060077502847475</v>
      </c>
      <c r="I151">
        <v>-9.9458941707521316</v>
      </c>
      <c r="J151" t="str">
        <f t="shared" si="30"/>
        <v>B</v>
      </c>
      <c r="K151" t="b">
        <f t="shared" si="31"/>
        <v>1</v>
      </c>
      <c r="L151" t="str">
        <f t="shared" si="32"/>
        <v>5-50</v>
      </c>
      <c r="M151">
        <f t="shared" si="33"/>
        <v>6677092.444501684</v>
      </c>
      <c r="N151" t="str">
        <f t="shared" si="34"/>
        <v>0-50</v>
      </c>
      <c r="O151" t="str">
        <f t="shared" si="37"/>
        <v>&gt;=10</v>
      </c>
      <c r="P151">
        <f t="shared" si="35"/>
        <v>15.053207492394868</v>
      </c>
      <c r="Q151">
        <f t="shared" si="36"/>
        <v>-3.3207492394868865E-2</v>
      </c>
    </row>
    <row r="152" spans="1:18" x14ac:dyDescent="0.3">
      <c r="A152" s="3" t="s">
        <v>320</v>
      </c>
      <c r="B152" t="s">
        <v>321</v>
      </c>
      <c r="C152">
        <v>0.29928100000000002</v>
      </c>
      <c r="D152">
        <v>300034776</v>
      </c>
      <c r="E152">
        <v>38604890</v>
      </c>
      <c r="F152">
        <v>-15.039339999999999</v>
      </c>
      <c r="G152">
        <v>1000000000</v>
      </c>
      <c r="H152">
        <v>-2.5331040002473739</v>
      </c>
      <c r="I152">
        <v>-37.878334906632929</v>
      </c>
      <c r="J152" t="str">
        <f t="shared" si="30"/>
        <v>B</v>
      </c>
      <c r="K152" t="b">
        <f t="shared" si="31"/>
        <v>1</v>
      </c>
      <c r="L152" t="str">
        <f t="shared" si="32"/>
        <v>0.05-0.5</v>
      </c>
      <c r="M152">
        <f t="shared" si="33"/>
        <v>333333319.86285371</v>
      </c>
      <c r="N152" t="str">
        <f t="shared" si="34"/>
        <v>0-50</v>
      </c>
      <c r="O152" t="str">
        <f t="shared" si="37"/>
        <v>&gt;=10</v>
      </c>
      <c r="P152">
        <f t="shared" si="35"/>
        <v>0.30705912702991961</v>
      </c>
      <c r="Q152">
        <f t="shared" si="36"/>
        <v>-7.7781270299195904E-3</v>
      </c>
    </row>
    <row r="153" spans="1:18" x14ac:dyDescent="0.3">
      <c r="A153" s="3" t="s">
        <v>324</v>
      </c>
      <c r="B153" t="s">
        <v>325</v>
      </c>
      <c r="C153">
        <v>5.7339000000000001E-2</v>
      </c>
      <c r="D153">
        <v>297586476</v>
      </c>
      <c r="E153">
        <v>7854400</v>
      </c>
      <c r="F153">
        <v>-1.03667</v>
      </c>
      <c r="G153">
        <v>5189835932.1300001</v>
      </c>
      <c r="H153">
        <v>-0.62099615639521411</v>
      </c>
      <c r="I153">
        <v>-17.662348097408643</v>
      </c>
      <c r="J153" t="str">
        <f t="shared" si="30"/>
        <v>C</v>
      </c>
      <c r="K153" t="b">
        <f t="shared" si="31"/>
        <v>1</v>
      </c>
      <c r="L153" t="str">
        <f t="shared" si="32"/>
        <v>0.05-0.5</v>
      </c>
      <c r="M153">
        <f t="shared" si="33"/>
        <v>1729945304.6155519</v>
      </c>
      <c r="N153" t="str">
        <f t="shared" si="34"/>
        <v>0-50</v>
      </c>
      <c r="O153" t="str">
        <f t="shared" si="37"/>
        <v>Up to 10</v>
      </c>
      <c r="P153">
        <f t="shared" si="35"/>
        <v>5.7697298002942168E-2</v>
      </c>
      <c r="Q153">
        <f t="shared" si="36"/>
        <v>-3.5829800294216729E-4</v>
      </c>
    </row>
    <row r="154" spans="1:18" x14ac:dyDescent="0.3">
      <c r="A154" s="3" t="s">
        <v>322</v>
      </c>
      <c r="B154" t="s">
        <v>323</v>
      </c>
      <c r="C154">
        <v>3.0936399999999999E-3</v>
      </c>
      <c r="D154">
        <v>295297558</v>
      </c>
      <c r="E154">
        <v>1856766</v>
      </c>
      <c r="F154">
        <v>0.97435000000000005</v>
      </c>
      <c r="G154">
        <v>95077236366.710007</v>
      </c>
      <c r="H154">
        <v>-1.566869469016164</v>
      </c>
      <c r="I154">
        <v>7.0935045318689358</v>
      </c>
      <c r="J154" t="str">
        <f t="shared" si="30"/>
        <v>T</v>
      </c>
      <c r="K154" t="b">
        <f t="shared" si="31"/>
        <v>0</v>
      </c>
      <c r="L154" t="str">
        <f t="shared" si="32"/>
        <v>0-0.05</v>
      </c>
      <c r="M154">
        <f t="shared" si="33"/>
        <v>31692412124.078884</v>
      </c>
      <c r="N154" t="str">
        <f t="shared" si="34"/>
        <v>0-50</v>
      </c>
      <c r="O154" t="str">
        <f t="shared" si="37"/>
        <v>Up to 10</v>
      </c>
      <c r="P154">
        <f t="shared" si="35"/>
        <v>3.1428849040072066E-3</v>
      </c>
      <c r="Q154">
        <f t="shared" si="36"/>
        <v>-4.9244904007206703E-5</v>
      </c>
    </row>
    <row r="155" spans="1:18" x14ac:dyDescent="0.3">
      <c r="A155" s="3" t="s">
        <v>326</v>
      </c>
      <c r="B155" t="s">
        <v>327</v>
      </c>
      <c r="C155">
        <v>3.0530000000000001E-5</v>
      </c>
      <c r="D155">
        <v>294715898</v>
      </c>
      <c r="E155">
        <v>21254608</v>
      </c>
      <c r="F155">
        <v>0.48065999999999998</v>
      </c>
      <c r="G155">
        <v>9652167661420</v>
      </c>
      <c r="H155">
        <v>-0.87382045024721045</v>
      </c>
      <c r="I155">
        <v>-11.261974898690736</v>
      </c>
      <c r="J155" t="str">
        <f t="shared" si="30"/>
        <v>F</v>
      </c>
      <c r="K155" t="b">
        <f t="shared" si="31"/>
        <v>0</v>
      </c>
      <c r="L155" t="str">
        <f t="shared" si="32"/>
        <v>0-0.05</v>
      </c>
      <c r="M155">
        <f t="shared" si="33"/>
        <v>3217389220469.2886</v>
      </c>
      <c r="N155" t="str">
        <f t="shared" si="34"/>
        <v>0-50</v>
      </c>
      <c r="O155" t="str">
        <f t="shared" si="37"/>
        <v>Up to 10</v>
      </c>
      <c r="P155">
        <f t="shared" si="35"/>
        <v>3.0799129088473114E-5</v>
      </c>
      <c r="Q155">
        <f t="shared" si="36"/>
        <v>-2.6912908847311295E-7</v>
      </c>
    </row>
    <row r="156" spans="1:18" x14ac:dyDescent="0.3">
      <c r="A156" s="3" t="s">
        <v>328</v>
      </c>
      <c r="B156" t="s">
        <v>329</v>
      </c>
      <c r="C156">
        <v>3.0067100000000001E-3</v>
      </c>
      <c r="D156">
        <v>294370064</v>
      </c>
      <c r="E156">
        <v>7507360</v>
      </c>
      <c r="F156">
        <v>5.5182799999999999</v>
      </c>
      <c r="G156">
        <v>97951717939.670685</v>
      </c>
      <c r="H156">
        <v>-0.76295536920603702</v>
      </c>
      <c r="I156">
        <v>-12.205380530654317</v>
      </c>
      <c r="J156" t="str">
        <f t="shared" si="30"/>
        <v>Z</v>
      </c>
      <c r="K156" t="b">
        <f t="shared" si="31"/>
        <v>0</v>
      </c>
      <c r="L156" t="str">
        <f t="shared" si="32"/>
        <v>0-0.05</v>
      </c>
      <c r="M156">
        <f t="shared" si="33"/>
        <v>32650572642.234116</v>
      </c>
      <c r="N156" t="str">
        <f t="shared" si="34"/>
        <v>0-50</v>
      </c>
      <c r="O156" t="str">
        <f t="shared" si="37"/>
        <v>Up to 10</v>
      </c>
      <c r="P156">
        <f t="shared" si="35"/>
        <v>3.0298262218371188E-3</v>
      </c>
      <c r="Q156">
        <f t="shared" si="36"/>
        <v>-2.3116221837118662E-5</v>
      </c>
    </row>
    <row r="157" spans="1:18" x14ac:dyDescent="0.3">
      <c r="A157" s="3" t="s">
        <v>330</v>
      </c>
      <c r="B157" t="s">
        <v>331</v>
      </c>
      <c r="C157">
        <v>1.0009999999999999</v>
      </c>
      <c r="D157">
        <v>286816435</v>
      </c>
      <c r="E157">
        <v>117172</v>
      </c>
      <c r="F157">
        <v>3.388E-2</v>
      </c>
      <c r="G157">
        <v>286530159.14941287</v>
      </c>
      <c r="H157">
        <v>0.21034617415088672</v>
      </c>
      <c r="I157">
        <v>0.11429374486665274</v>
      </c>
      <c r="J157" t="str">
        <f t="shared" si="30"/>
        <v>U</v>
      </c>
      <c r="K157" t="b">
        <f t="shared" si="31"/>
        <v>1</v>
      </c>
      <c r="L157" t="str">
        <f t="shared" si="32"/>
        <v>0.5-5</v>
      </c>
      <c r="M157">
        <f t="shared" si="33"/>
        <v>95510053.158017591</v>
      </c>
      <c r="N157" t="str">
        <f t="shared" si="34"/>
        <v>0-50</v>
      </c>
      <c r="O157" t="str">
        <f t="shared" si="37"/>
        <v>Up to 10</v>
      </c>
      <c r="P157">
        <f t="shared" si="35"/>
        <v>0.99889885447597271</v>
      </c>
      <c r="Q157">
        <f t="shared" si="36"/>
        <v>2.1011455240271815E-3</v>
      </c>
    </row>
    <row r="158" spans="1:18" x14ac:dyDescent="0.3">
      <c r="A158" s="3" t="s">
        <v>332</v>
      </c>
      <c r="B158" t="s">
        <v>333</v>
      </c>
      <c r="C158">
        <v>5.7455800000000001E-3</v>
      </c>
      <c r="D158">
        <v>284136204</v>
      </c>
      <c r="E158">
        <v>10970087</v>
      </c>
      <c r="F158">
        <v>1.5097400000000001</v>
      </c>
      <c r="G158">
        <v>49444999677.590271</v>
      </c>
      <c r="H158">
        <v>0.51490637960545893</v>
      </c>
      <c r="I158">
        <v>-10.697854003804467</v>
      </c>
      <c r="J158" t="str">
        <f t="shared" si="30"/>
        <v>J</v>
      </c>
      <c r="K158" t="b">
        <f t="shared" si="31"/>
        <v>0</v>
      </c>
      <c r="L158" t="str">
        <f t="shared" si="32"/>
        <v>0-0.05</v>
      </c>
      <c r="M158">
        <f t="shared" si="33"/>
        <v>16481666555.802443</v>
      </c>
      <c r="N158" t="str">
        <f t="shared" si="34"/>
        <v>0-50</v>
      </c>
      <c r="O158" t="str">
        <f t="shared" si="37"/>
        <v>Up to 10</v>
      </c>
      <c r="P158">
        <f t="shared" si="35"/>
        <v>5.7161471934333739E-3</v>
      </c>
      <c r="Q158">
        <f t="shared" si="36"/>
        <v>2.9432806566626231E-5</v>
      </c>
    </row>
    <row r="159" spans="1:18" x14ac:dyDescent="0.3">
      <c r="A159" s="3" t="s">
        <v>334</v>
      </c>
      <c r="B159" t="s">
        <v>335</v>
      </c>
      <c r="C159">
        <v>18.95</v>
      </c>
      <c r="D159">
        <v>284009822</v>
      </c>
      <c r="E159">
        <v>97610</v>
      </c>
      <c r="F159">
        <v>0.39419999999999999</v>
      </c>
      <c r="G159">
        <v>14981364.28253293</v>
      </c>
      <c r="H159">
        <v>-0.3268767367031214</v>
      </c>
      <c r="I159">
        <v>-2.9082326279936401</v>
      </c>
      <c r="J159" t="str">
        <f t="shared" si="30"/>
        <v>O</v>
      </c>
      <c r="K159" t="b">
        <f t="shared" si="31"/>
        <v>1</v>
      </c>
      <c r="L159" t="str">
        <f t="shared" si="32"/>
        <v>5-50</v>
      </c>
      <c r="M159">
        <f t="shared" si="33"/>
        <v>4993787.0158078549</v>
      </c>
      <c r="N159" t="str">
        <f t="shared" si="34"/>
        <v>0-50</v>
      </c>
      <c r="O159" t="str">
        <f t="shared" si="37"/>
        <v>Up to 10</v>
      </c>
      <c r="P159">
        <f t="shared" si="35"/>
        <v>19.01214628334823</v>
      </c>
      <c r="Q159">
        <f t="shared" si="36"/>
        <v>-6.2146283348230469E-2</v>
      </c>
      <c r="R159" s="14"/>
    </row>
    <row r="160" spans="1:18" x14ac:dyDescent="0.3">
      <c r="A160" s="3" t="s">
        <v>336</v>
      </c>
      <c r="B160" t="s">
        <v>337</v>
      </c>
      <c r="C160">
        <v>75.13</v>
      </c>
      <c r="D160">
        <v>283826264</v>
      </c>
      <c r="E160">
        <v>886227</v>
      </c>
      <c r="F160">
        <v>-0.33883999999999997</v>
      </c>
      <c r="G160">
        <v>3777096.9336000001</v>
      </c>
      <c r="H160">
        <v>0.10604256576576972</v>
      </c>
      <c r="I160">
        <v>-14.245363147709414</v>
      </c>
      <c r="J160" t="str">
        <f t="shared" si="30"/>
        <v>K</v>
      </c>
      <c r="K160" t="b">
        <f t="shared" si="31"/>
        <v>0</v>
      </c>
      <c r="L160" t="str">
        <f t="shared" si="32"/>
        <v>&gt;50</v>
      </c>
      <c r="M160">
        <f t="shared" si="33"/>
        <v>1259027.5980931392</v>
      </c>
      <c r="N160" t="str">
        <f t="shared" si="34"/>
        <v>&gt;50</v>
      </c>
      <c r="O160" t="str">
        <f t="shared" si="37"/>
        <v>&gt;=10</v>
      </c>
      <c r="P160">
        <f t="shared" si="35"/>
        <v>75.050414614724701</v>
      </c>
      <c r="Q160">
        <f t="shared" si="36"/>
        <v>7.9585385275294129E-2</v>
      </c>
    </row>
    <row r="161" spans="1:17" x14ac:dyDescent="0.3">
      <c r="A161" s="3" t="s">
        <v>338</v>
      </c>
      <c r="B161" t="s">
        <v>339</v>
      </c>
      <c r="C161">
        <v>2.8398599999999999E-7</v>
      </c>
      <c r="D161">
        <v>281539628</v>
      </c>
      <c r="E161">
        <v>6862439</v>
      </c>
      <c r="F161">
        <v>0.20669999999999999</v>
      </c>
      <c r="G161">
        <v>990105592982874.75</v>
      </c>
      <c r="H161">
        <v>-1.1642310509314393</v>
      </c>
      <c r="I161">
        <v>-6.1047753860788738</v>
      </c>
      <c r="J161" t="str">
        <f t="shared" si="30"/>
        <v>A</v>
      </c>
      <c r="K161" t="b">
        <f t="shared" si="31"/>
        <v>1</v>
      </c>
      <c r="L161" t="str">
        <f t="shared" si="32"/>
        <v>0-0.05</v>
      </c>
      <c r="M161">
        <f t="shared" si="33"/>
        <v>330035197660955.81</v>
      </c>
      <c r="N161" t="str">
        <f t="shared" si="34"/>
        <v>0-50</v>
      </c>
      <c r="O161" t="str">
        <f t="shared" si="37"/>
        <v>&gt;=10</v>
      </c>
      <c r="P161">
        <f t="shared" si="35"/>
        <v>2.8733119903821651E-7</v>
      </c>
      <c r="Q161">
        <f t="shared" si="36"/>
        <v>-3.3451990382165269E-9</v>
      </c>
    </row>
    <row r="162" spans="1:17" x14ac:dyDescent="0.3">
      <c r="A162" s="3" t="s">
        <v>340</v>
      </c>
      <c r="B162" t="s">
        <v>341</v>
      </c>
      <c r="C162">
        <v>4.4382959999999999E-2</v>
      </c>
      <c r="D162">
        <v>279627190</v>
      </c>
      <c r="E162">
        <v>38588326</v>
      </c>
      <c r="F162">
        <v>4.7800099999999999</v>
      </c>
      <c r="G162">
        <v>6289850275.3489714</v>
      </c>
      <c r="H162">
        <v>0.20048364614252021</v>
      </c>
      <c r="I162">
        <v>-3.2606585606958194</v>
      </c>
      <c r="J162" t="str">
        <f t="shared" ref="J162:J193" si="38">LEFT(B162,1)</f>
        <v>S</v>
      </c>
      <c r="K162" t="b">
        <f t="shared" ref="K162:K193" si="39">OR(J162="A",J162="E",J162="I",J162="O",J162="U",J162="B",J162="C",J162="D")</f>
        <v>0</v>
      </c>
      <c r="L162" t="str">
        <f t="shared" ref="L162:L193" si="40">IF(C162&lt;=0.05,"0-0.05",IF(C162&lt;=0.5,"0.05-0.5",IF(C162&lt;=5,"0.5-5",IF(C162&lt;=50,"5-50","&gt;50"))))</f>
        <v>0-0.05</v>
      </c>
      <c r="M162">
        <f t="shared" ref="M162:M193" si="41">ABS(AVERAGE(G162,H162,I162))</f>
        <v>2096616757.4295988</v>
      </c>
      <c r="N162" t="str">
        <f t="shared" ref="N162:N193" si="42">IF(C162&lt;=50,"0-50","&gt;50")</f>
        <v>0-50</v>
      </c>
      <c r="O162" t="str">
        <f t="shared" si="37"/>
        <v>Up to 10</v>
      </c>
      <c r="P162">
        <f t="shared" ref="P162:P193" si="43">C162/(1+(H162/100))</f>
        <v>4.4294157458099892E-2</v>
      </c>
      <c r="Q162">
        <f t="shared" ref="Q162:Q193" si="44">C162-P162</f>
        <v>8.8802541900107057E-5</v>
      </c>
    </row>
    <row r="163" spans="1:17" x14ac:dyDescent="0.3">
      <c r="A163" s="3" t="s">
        <v>342</v>
      </c>
      <c r="B163" t="s">
        <v>343</v>
      </c>
      <c r="C163">
        <v>0.129576</v>
      </c>
      <c r="D163">
        <v>278859354</v>
      </c>
      <c r="E163">
        <v>48542257</v>
      </c>
      <c r="F163">
        <v>1.76119</v>
      </c>
      <c r="G163">
        <v>2150875957</v>
      </c>
      <c r="H163">
        <v>-0.4436143850960757</v>
      </c>
      <c r="I163">
        <v>-11.350403958743991</v>
      </c>
      <c r="J163" t="str">
        <f t="shared" si="38"/>
        <v>O</v>
      </c>
      <c r="K163" t="b">
        <f t="shared" si="39"/>
        <v>1</v>
      </c>
      <c r="L163" t="str">
        <f t="shared" si="40"/>
        <v>0.05-0.5</v>
      </c>
      <c r="M163">
        <f t="shared" si="41"/>
        <v>716958648.40199387</v>
      </c>
      <c r="N163" t="str">
        <f t="shared" si="42"/>
        <v>0-50</v>
      </c>
      <c r="O163" t="str">
        <f t="shared" si="37"/>
        <v>Up to 10</v>
      </c>
      <c r="P163">
        <f t="shared" si="43"/>
        <v>0.13015337911243138</v>
      </c>
      <c r="Q163">
        <f t="shared" si="44"/>
        <v>-5.7737911243138651E-4</v>
      </c>
    </row>
    <row r="164" spans="1:17" x14ac:dyDescent="0.3">
      <c r="A164" s="3" t="s">
        <v>344</v>
      </c>
      <c r="B164" t="s">
        <v>345</v>
      </c>
      <c r="C164">
        <v>2.54243E-2</v>
      </c>
      <c r="D164">
        <v>274476252</v>
      </c>
      <c r="E164">
        <v>11882796</v>
      </c>
      <c r="F164">
        <v>1.8640000000000001</v>
      </c>
      <c r="G164">
        <v>10799867657.473471</v>
      </c>
      <c r="H164">
        <v>-0.91393210402664038</v>
      </c>
      <c r="I164">
        <v>-8.6517544593618911</v>
      </c>
      <c r="J164" t="str">
        <f t="shared" si="38"/>
        <v>T</v>
      </c>
      <c r="K164" t="b">
        <f t="shared" si="39"/>
        <v>0</v>
      </c>
      <c r="L164" t="str">
        <f t="shared" si="40"/>
        <v>0-0.05</v>
      </c>
      <c r="M164">
        <f t="shared" si="41"/>
        <v>3599955882.6359277</v>
      </c>
      <c r="N164" t="str">
        <f t="shared" si="42"/>
        <v>0-50</v>
      </c>
      <c r="O164" t="str">
        <f t="shared" si="37"/>
        <v>Up to 10</v>
      </c>
      <c r="P164">
        <f t="shared" si="43"/>
        <v>2.5658804047701229E-2</v>
      </c>
      <c r="Q164">
        <f t="shared" si="44"/>
        <v>-2.3450404770122835E-4</v>
      </c>
    </row>
    <row r="165" spans="1:17" x14ac:dyDescent="0.3">
      <c r="A165" s="3" t="s">
        <v>346</v>
      </c>
      <c r="B165" t="s">
        <v>347</v>
      </c>
      <c r="C165">
        <v>0.99280000000000002</v>
      </c>
      <c r="D165">
        <v>273884325</v>
      </c>
      <c r="E165">
        <v>747667</v>
      </c>
      <c r="F165">
        <v>4.1509999999999998E-2</v>
      </c>
      <c r="G165">
        <v>275847684.01026767</v>
      </c>
      <c r="H165">
        <v>-3.0696287601369623E-2</v>
      </c>
      <c r="I165">
        <v>-0.102892882369164</v>
      </c>
      <c r="J165" t="str">
        <f t="shared" si="38"/>
        <v>L</v>
      </c>
      <c r="K165" t="b">
        <f t="shared" si="39"/>
        <v>0</v>
      </c>
      <c r="L165" t="str">
        <f t="shared" si="40"/>
        <v>0.5-5</v>
      </c>
      <c r="M165">
        <f t="shared" si="41"/>
        <v>91949227.958892837</v>
      </c>
      <c r="N165" t="str">
        <f t="shared" si="42"/>
        <v>0-50</v>
      </c>
      <c r="O165" t="str">
        <f t="shared" si="37"/>
        <v>Up to 10</v>
      </c>
      <c r="P165">
        <f t="shared" si="43"/>
        <v>0.99310484631980955</v>
      </c>
      <c r="Q165">
        <f t="shared" si="44"/>
        <v>-3.0484631980953747E-4</v>
      </c>
    </row>
    <row r="166" spans="1:17" x14ac:dyDescent="0.3">
      <c r="A166" s="3" t="s">
        <v>348</v>
      </c>
      <c r="B166" t="s">
        <v>349</v>
      </c>
      <c r="C166">
        <v>0.124293</v>
      </c>
      <c r="D166">
        <v>260931769</v>
      </c>
      <c r="E166">
        <v>4534746</v>
      </c>
      <c r="F166">
        <v>-4.2963399999999998</v>
      </c>
      <c r="G166">
        <v>2100000000</v>
      </c>
      <c r="H166">
        <v>-0.66415224522006822</v>
      </c>
      <c r="I166">
        <v>-3.2959189944189551</v>
      </c>
      <c r="J166" t="str">
        <f t="shared" si="38"/>
        <v>E</v>
      </c>
      <c r="K166" t="b">
        <f t="shared" si="39"/>
        <v>1</v>
      </c>
      <c r="L166" t="str">
        <f t="shared" si="40"/>
        <v>0.05-0.5</v>
      </c>
      <c r="M166">
        <f t="shared" si="41"/>
        <v>699999998.67997634</v>
      </c>
      <c r="N166" t="str">
        <f t="shared" si="42"/>
        <v>0-50</v>
      </c>
      <c r="O166" t="str">
        <f t="shared" si="37"/>
        <v>Up to 10</v>
      </c>
      <c r="P166">
        <f t="shared" si="43"/>
        <v>0.12512401394794476</v>
      </c>
      <c r="Q166">
        <f t="shared" si="44"/>
        <v>-8.3101394794475592E-4</v>
      </c>
    </row>
    <row r="167" spans="1:17" x14ac:dyDescent="0.3">
      <c r="A167" s="3" t="s">
        <v>352</v>
      </c>
      <c r="B167" t="s">
        <v>353</v>
      </c>
      <c r="C167">
        <v>6.31</v>
      </c>
      <c r="D167">
        <v>255088056</v>
      </c>
      <c r="E167">
        <v>16173061</v>
      </c>
      <c r="F167">
        <v>1.02474</v>
      </c>
      <c r="G167">
        <v>40408647.500078425</v>
      </c>
      <c r="H167">
        <v>-0.40392273980911308</v>
      </c>
      <c r="I167">
        <v>-8.5493844588959327</v>
      </c>
      <c r="J167" t="str">
        <f t="shared" si="38"/>
        <v>E</v>
      </c>
      <c r="K167" t="b">
        <f t="shared" si="39"/>
        <v>1</v>
      </c>
      <c r="L167" t="str">
        <f t="shared" si="40"/>
        <v>5-50</v>
      </c>
      <c r="M167">
        <f t="shared" si="41"/>
        <v>13469546.182257077</v>
      </c>
      <c r="N167" t="str">
        <f t="shared" si="42"/>
        <v>0-50</v>
      </c>
      <c r="O167" t="str">
        <f t="shared" si="37"/>
        <v>Up to 10</v>
      </c>
      <c r="P167">
        <f t="shared" si="43"/>
        <v>6.3355908923153361</v>
      </c>
      <c r="Q167">
        <f t="shared" si="44"/>
        <v>-2.5590892315336511E-2</v>
      </c>
    </row>
    <row r="168" spans="1:17" x14ac:dyDescent="0.3">
      <c r="A168" s="3" t="s">
        <v>350</v>
      </c>
      <c r="B168" t="s">
        <v>351</v>
      </c>
      <c r="C168">
        <v>0.101539</v>
      </c>
      <c r="D168">
        <v>254684410</v>
      </c>
      <c r="E168">
        <v>13737017</v>
      </c>
      <c r="F168">
        <v>-18.73434</v>
      </c>
      <c r="G168">
        <v>2500000000</v>
      </c>
      <c r="H168">
        <v>-2.2438954959968607</v>
      </c>
      <c r="I168">
        <v>-50.862414168605994</v>
      </c>
      <c r="J168" t="str">
        <f t="shared" si="38"/>
        <v>U</v>
      </c>
      <c r="K168" t="b">
        <f t="shared" si="39"/>
        <v>1</v>
      </c>
      <c r="L168" t="str">
        <f t="shared" si="40"/>
        <v>0.05-0.5</v>
      </c>
      <c r="M168">
        <f t="shared" si="41"/>
        <v>833333315.63123</v>
      </c>
      <c r="N168" t="str">
        <f t="shared" si="42"/>
        <v>0-50</v>
      </c>
      <c r="O168" t="str">
        <f t="shared" si="37"/>
        <v>Up to 10</v>
      </c>
      <c r="P168">
        <f t="shared" si="43"/>
        <v>0.10386972815170019</v>
      </c>
      <c r="Q168">
        <f t="shared" si="44"/>
        <v>-2.3307281517001843E-3</v>
      </c>
    </row>
    <row r="169" spans="1:17" x14ac:dyDescent="0.3">
      <c r="A169" s="3" t="s">
        <v>354</v>
      </c>
      <c r="B169" t="s">
        <v>355</v>
      </c>
      <c r="C169">
        <v>5.6327000000000002E-2</v>
      </c>
      <c r="D169">
        <v>250268073</v>
      </c>
      <c r="E169">
        <v>5992956</v>
      </c>
      <c r="F169">
        <v>0.40656999999999999</v>
      </c>
      <c r="G169">
        <v>4446812518</v>
      </c>
      <c r="H169">
        <v>-0.43209859983376631</v>
      </c>
      <c r="I169">
        <v>-6.207528963308147</v>
      </c>
      <c r="J169" t="str">
        <f t="shared" si="38"/>
        <v>I</v>
      </c>
      <c r="K169" t="b">
        <f t="shared" si="39"/>
        <v>1</v>
      </c>
      <c r="L169" t="str">
        <f t="shared" si="40"/>
        <v>0.05-0.5</v>
      </c>
      <c r="M169">
        <f t="shared" si="41"/>
        <v>1482270837.1201241</v>
      </c>
      <c r="N169" t="str">
        <f t="shared" si="42"/>
        <v>0-50</v>
      </c>
      <c r="O169" t="str">
        <f t="shared" si="37"/>
        <v>Up to 10</v>
      </c>
      <c r="P169">
        <f t="shared" si="43"/>
        <v>5.6571444419241279E-2</v>
      </c>
      <c r="Q169">
        <f t="shared" si="44"/>
        <v>-2.4444441924127702E-4</v>
      </c>
    </row>
    <row r="170" spans="1:17" x14ac:dyDescent="0.3">
      <c r="A170" s="3" t="s">
        <v>356</v>
      </c>
      <c r="B170" t="s">
        <v>357</v>
      </c>
      <c r="C170">
        <v>0.99952300000000005</v>
      </c>
      <c r="D170">
        <v>249856878</v>
      </c>
      <c r="E170">
        <v>130928911</v>
      </c>
      <c r="F170">
        <v>-9.9699999999999997E-3</v>
      </c>
      <c r="G170">
        <v>250000000</v>
      </c>
      <c r="H170">
        <v>-2.481104511874424E-2</v>
      </c>
      <c r="I170">
        <v>-1.3818904547403223E-2</v>
      </c>
      <c r="J170" t="str">
        <f t="shared" si="38"/>
        <v>R</v>
      </c>
      <c r="K170" t="b">
        <f t="shared" si="39"/>
        <v>0</v>
      </c>
      <c r="L170" t="str">
        <f t="shared" si="40"/>
        <v>0.5-5</v>
      </c>
      <c r="M170">
        <f t="shared" si="41"/>
        <v>83333333.320456684</v>
      </c>
      <c r="N170" t="str">
        <f t="shared" si="42"/>
        <v>0-50</v>
      </c>
      <c r="O170" t="str">
        <f t="shared" si="37"/>
        <v>Up to 10</v>
      </c>
      <c r="P170">
        <f t="shared" si="43"/>
        <v>0.99977105364720464</v>
      </c>
      <c r="Q170">
        <f t="shared" si="44"/>
        <v>-2.4805364720459355E-4</v>
      </c>
    </row>
    <row r="171" spans="1:17" x14ac:dyDescent="0.3">
      <c r="A171" s="3" t="s">
        <v>358</v>
      </c>
      <c r="B171" t="s">
        <v>359</v>
      </c>
      <c r="C171">
        <v>0.99802999999999997</v>
      </c>
      <c r="D171">
        <v>243945765</v>
      </c>
      <c r="E171">
        <v>4546065</v>
      </c>
      <c r="F171">
        <v>-1.384E-2</v>
      </c>
      <c r="G171">
        <v>244340886.50039721</v>
      </c>
      <c r="H171">
        <v>-0.12642839999330224</v>
      </c>
      <c r="I171">
        <v>-0.24888000344354305</v>
      </c>
      <c r="J171" t="str">
        <f t="shared" si="38"/>
        <v>M</v>
      </c>
      <c r="K171" t="b">
        <f t="shared" si="39"/>
        <v>0</v>
      </c>
      <c r="L171" t="str">
        <f t="shared" si="40"/>
        <v>0.5-5</v>
      </c>
      <c r="M171">
        <f t="shared" si="41"/>
        <v>81446962.041696265</v>
      </c>
      <c r="N171" t="str">
        <f t="shared" si="42"/>
        <v>0-50</v>
      </c>
      <c r="O171" t="str">
        <f t="shared" si="37"/>
        <v>Up to 10</v>
      </c>
      <c r="P171">
        <f t="shared" si="43"/>
        <v>0.99929339064503131</v>
      </c>
      <c r="Q171">
        <f t="shared" si="44"/>
        <v>-1.263390645031337E-3</v>
      </c>
    </row>
    <row r="172" spans="1:17" x14ac:dyDescent="0.3">
      <c r="A172" s="3" t="s">
        <v>360</v>
      </c>
      <c r="B172" t="s">
        <v>361</v>
      </c>
      <c r="C172">
        <v>1.1400000000000001E-6</v>
      </c>
      <c r="D172">
        <v>239256953</v>
      </c>
      <c r="E172">
        <v>36402821</v>
      </c>
      <c r="F172">
        <v>3.4689999999999999E-2</v>
      </c>
      <c r="G172">
        <v>210000000000000</v>
      </c>
      <c r="H172">
        <v>-0.26114304249148512</v>
      </c>
      <c r="I172">
        <v>-7.4808556173684577</v>
      </c>
      <c r="J172" t="str">
        <f t="shared" si="38"/>
        <v>A</v>
      </c>
      <c r="K172" t="b">
        <f t="shared" si="39"/>
        <v>1</v>
      </c>
      <c r="L172" t="str">
        <f t="shared" si="40"/>
        <v>0-0.05</v>
      </c>
      <c r="M172">
        <f t="shared" si="41"/>
        <v>69999999999997.43</v>
      </c>
      <c r="N172" t="str">
        <f t="shared" si="42"/>
        <v>0-50</v>
      </c>
      <c r="O172" t="str">
        <f t="shared" si="37"/>
        <v>Up to 10</v>
      </c>
      <c r="P172">
        <f t="shared" si="43"/>
        <v>1.1429848253481301E-6</v>
      </c>
      <c r="Q172">
        <f t="shared" si="44"/>
        <v>-2.9848253481300355E-9</v>
      </c>
    </row>
    <row r="173" spans="1:17" x14ac:dyDescent="0.3">
      <c r="A173" s="3" t="s">
        <v>362</v>
      </c>
      <c r="B173" t="s">
        <v>363</v>
      </c>
      <c r="C173">
        <v>0.49956499999999998</v>
      </c>
      <c r="D173">
        <v>236509910</v>
      </c>
      <c r="E173">
        <v>120667009</v>
      </c>
      <c r="F173">
        <v>15.31457</v>
      </c>
      <c r="G173">
        <v>473835191.30000001</v>
      </c>
      <c r="H173">
        <v>-2.6858335023109459</v>
      </c>
      <c r="I173">
        <v>1.1813689464871238</v>
      </c>
      <c r="J173" t="str">
        <f t="shared" si="38"/>
        <v>J</v>
      </c>
      <c r="K173" t="b">
        <f t="shared" si="39"/>
        <v>0</v>
      </c>
      <c r="L173" t="str">
        <f t="shared" si="40"/>
        <v>0.05-0.5</v>
      </c>
      <c r="M173">
        <f t="shared" si="41"/>
        <v>157945063.26517847</v>
      </c>
      <c r="N173" t="str">
        <f t="shared" si="42"/>
        <v>0-50</v>
      </c>
      <c r="O173" t="str">
        <f t="shared" si="37"/>
        <v>Up to 10</v>
      </c>
      <c r="P173">
        <f t="shared" si="43"/>
        <v>0.51335280152850438</v>
      </c>
      <c r="Q173">
        <f t="shared" si="44"/>
        <v>-1.3787801528504395E-2</v>
      </c>
    </row>
    <row r="174" spans="1:17" x14ac:dyDescent="0.3">
      <c r="A174" s="3" t="s">
        <v>364</v>
      </c>
      <c r="B174" t="s">
        <v>365</v>
      </c>
      <c r="C174">
        <v>0.20146600000000001</v>
      </c>
      <c r="D174">
        <v>233615317</v>
      </c>
      <c r="E174">
        <v>13067083</v>
      </c>
      <c r="F174">
        <v>-4.54087</v>
      </c>
      <c r="G174">
        <v>1159459590.7885313</v>
      </c>
      <c r="H174">
        <v>0.89722200769105975</v>
      </c>
      <c r="I174">
        <v>-13.146690994478416</v>
      </c>
      <c r="J174" t="str">
        <f t="shared" si="38"/>
        <v>M</v>
      </c>
      <c r="K174" t="b">
        <f t="shared" si="39"/>
        <v>0</v>
      </c>
      <c r="L174" t="str">
        <f t="shared" si="40"/>
        <v>0.05-0.5</v>
      </c>
      <c r="M174">
        <f t="shared" si="41"/>
        <v>386486526.17968744</v>
      </c>
      <c r="N174" t="str">
        <f t="shared" si="42"/>
        <v>0-50</v>
      </c>
      <c r="O174" t="str">
        <f t="shared" si="37"/>
        <v>Up to 10</v>
      </c>
      <c r="P174">
        <f t="shared" si="43"/>
        <v>0.19967447665173865</v>
      </c>
      <c r="Q174">
        <f t="shared" si="44"/>
        <v>1.7915233482613535E-3</v>
      </c>
    </row>
    <row r="175" spans="1:17" x14ac:dyDescent="0.3">
      <c r="A175" s="3" t="s">
        <v>366</v>
      </c>
      <c r="B175" t="s">
        <v>367</v>
      </c>
      <c r="C175">
        <v>7.1777999999999995E-2</v>
      </c>
      <c r="D175">
        <v>233043466</v>
      </c>
      <c r="E175">
        <v>7533849</v>
      </c>
      <c r="F175">
        <v>1.11951</v>
      </c>
      <c r="G175">
        <v>3246726475</v>
      </c>
      <c r="H175">
        <v>-0.30284271484074793</v>
      </c>
      <c r="I175">
        <v>-5.4279615468585494</v>
      </c>
      <c r="J175" t="str">
        <f t="shared" si="38"/>
        <v>R</v>
      </c>
      <c r="K175" t="b">
        <f t="shared" si="39"/>
        <v>0</v>
      </c>
      <c r="L175" t="str">
        <f t="shared" si="40"/>
        <v>0.05-0.5</v>
      </c>
      <c r="M175">
        <f t="shared" si="41"/>
        <v>1082242156.4230654</v>
      </c>
      <c r="N175" t="str">
        <f t="shared" si="42"/>
        <v>0-50</v>
      </c>
      <c r="O175" t="str">
        <f t="shared" si="37"/>
        <v>Up to 10</v>
      </c>
      <c r="P175">
        <f t="shared" si="43"/>
        <v>7.1996034746203086E-2</v>
      </c>
      <c r="Q175">
        <f t="shared" si="44"/>
        <v>-2.1803474620309127E-4</v>
      </c>
    </row>
    <row r="176" spans="1:17" x14ac:dyDescent="0.3">
      <c r="A176" s="3" t="s">
        <v>368</v>
      </c>
      <c r="B176" t="s">
        <v>369</v>
      </c>
      <c r="C176">
        <v>0.77480099999999996</v>
      </c>
      <c r="D176">
        <v>226446251</v>
      </c>
      <c r="E176">
        <v>12787359</v>
      </c>
      <c r="F176">
        <v>1.13148</v>
      </c>
      <c r="G176">
        <v>292078878.41442698</v>
      </c>
      <c r="H176">
        <v>-1.024241013953004</v>
      </c>
      <c r="I176">
        <v>-3.6286971212036208</v>
      </c>
      <c r="J176" t="str">
        <f t="shared" si="38"/>
        <v>A</v>
      </c>
      <c r="K176" t="b">
        <f t="shared" si="39"/>
        <v>1</v>
      </c>
      <c r="L176" t="str">
        <f t="shared" si="40"/>
        <v>0.5-5</v>
      </c>
      <c r="M176">
        <f t="shared" si="41"/>
        <v>97359624.587162957</v>
      </c>
      <c r="N176" t="str">
        <f t="shared" si="42"/>
        <v>0-50</v>
      </c>
      <c r="O176" t="str">
        <f t="shared" si="37"/>
        <v>Up to 10</v>
      </c>
      <c r="P176">
        <f t="shared" si="43"/>
        <v>0.78281895277936364</v>
      </c>
      <c r="Q176">
        <f t="shared" si="44"/>
        <v>-8.0179527793636796E-3</v>
      </c>
    </row>
    <row r="177" spans="1:17" x14ac:dyDescent="0.3">
      <c r="A177" s="3" t="s">
        <v>370</v>
      </c>
      <c r="B177" t="s">
        <v>371</v>
      </c>
      <c r="C177">
        <v>0.99920299999999995</v>
      </c>
      <c r="D177">
        <v>221937905</v>
      </c>
      <c r="E177">
        <v>17596222</v>
      </c>
      <c r="F177">
        <v>2.0559999999999998E-2</v>
      </c>
      <c r="G177">
        <v>222051397.73447999</v>
      </c>
      <c r="H177">
        <v>-2.853099403055992E-2</v>
      </c>
      <c r="I177">
        <v>-3.9360063969295839E-2</v>
      </c>
      <c r="J177" t="str">
        <f t="shared" si="38"/>
        <v>c</v>
      </c>
      <c r="K177" t="b">
        <f t="shared" si="39"/>
        <v>1</v>
      </c>
      <c r="L177" t="str">
        <f t="shared" si="40"/>
        <v>0.5-5</v>
      </c>
      <c r="M177">
        <f t="shared" si="41"/>
        <v>74017132.555529639</v>
      </c>
      <c r="N177" t="str">
        <f t="shared" si="42"/>
        <v>0-50</v>
      </c>
      <c r="O177" t="str">
        <f t="shared" si="37"/>
        <v>Up to 10</v>
      </c>
      <c r="P177">
        <f t="shared" si="43"/>
        <v>0.9994881639083808</v>
      </c>
      <c r="Q177">
        <f t="shared" si="44"/>
        <v>-2.8516390838084771E-4</v>
      </c>
    </row>
    <row r="178" spans="1:17" x14ac:dyDescent="0.3">
      <c r="A178" s="3" t="s">
        <v>372</v>
      </c>
      <c r="B178" t="s">
        <v>373</v>
      </c>
      <c r="C178">
        <v>22.65</v>
      </c>
      <c r="D178">
        <v>218992007</v>
      </c>
      <c r="E178">
        <v>9888582</v>
      </c>
      <c r="F178">
        <v>-0.27915000000000001</v>
      </c>
      <c r="G178">
        <v>9668189.2783608865</v>
      </c>
      <c r="H178">
        <v>-0.99654263582428237</v>
      </c>
      <c r="I178">
        <v>5.8084946925981366E-2</v>
      </c>
      <c r="J178" t="str">
        <f t="shared" si="38"/>
        <v>C</v>
      </c>
      <c r="K178" t="b">
        <f t="shared" si="39"/>
        <v>1</v>
      </c>
      <c r="L178" t="str">
        <f t="shared" si="40"/>
        <v>5-50</v>
      </c>
      <c r="M178">
        <f t="shared" si="41"/>
        <v>3222729.4466343988</v>
      </c>
      <c r="N178" t="str">
        <f t="shared" si="42"/>
        <v>0-50</v>
      </c>
      <c r="O178" t="str">
        <f t="shared" si="37"/>
        <v>Up to 10</v>
      </c>
      <c r="P178">
        <f t="shared" si="43"/>
        <v>22.877988913744616</v>
      </c>
      <c r="Q178">
        <f t="shared" si="44"/>
        <v>-0.22798891374461761</v>
      </c>
    </row>
    <row r="179" spans="1:17" x14ac:dyDescent="0.3">
      <c r="A179" s="3" t="s">
        <v>374</v>
      </c>
      <c r="B179" t="s">
        <v>375</v>
      </c>
      <c r="C179">
        <v>8.7041999999999994E-2</v>
      </c>
      <c r="D179">
        <v>218027563</v>
      </c>
      <c r="E179">
        <v>43175646</v>
      </c>
      <c r="F179">
        <v>4.1123399999999997</v>
      </c>
      <c r="G179">
        <v>2505729166.6666999</v>
      </c>
      <c r="H179">
        <v>-0.47675133310394902</v>
      </c>
      <c r="I179">
        <v>-7.4191204741183556</v>
      </c>
      <c r="J179" t="str">
        <f t="shared" si="38"/>
        <v>P</v>
      </c>
      <c r="K179" t="b">
        <f t="shared" si="39"/>
        <v>0</v>
      </c>
      <c r="L179" t="str">
        <f t="shared" si="40"/>
        <v>0.05-0.5</v>
      </c>
      <c r="M179">
        <f t="shared" si="41"/>
        <v>835243052.92360938</v>
      </c>
      <c r="N179" t="str">
        <f t="shared" si="42"/>
        <v>0-50</v>
      </c>
      <c r="O179" t="str">
        <f t="shared" si="37"/>
        <v>&gt;=10</v>
      </c>
      <c r="P179">
        <f t="shared" si="43"/>
        <v>8.7458961766138932E-2</v>
      </c>
      <c r="Q179">
        <f t="shared" si="44"/>
        <v>-4.1696176613893743E-4</v>
      </c>
    </row>
    <row r="180" spans="1:17" x14ac:dyDescent="0.3">
      <c r="A180" s="3" t="s">
        <v>376</v>
      </c>
      <c r="B180" t="s">
        <v>377</v>
      </c>
      <c r="C180">
        <v>0.98303700000000005</v>
      </c>
      <c r="D180">
        <v>216944422</v>
      </c>
      <c r="E180">
        <v>1.47</v>
      </c>
      <c r="G180">
        <v>220687959.0114319</v>
      </c>
      <c r="I180">
        <v>-4.7730769083253341E-2</v>
      </c>
      <c r="J180" t="str">
        <f t="shared" si="38"/>
        <v>U</v>
      </c>
      <c r="K180" t="b">
        <f t="shared" si="39"/>
        <v>1</v>
      </c>
      <c r="L180" t="str">
        <f t="shared" si="40"/>
        <v>0.5-5</v>
      </c>
      <c r="M180">
        <f t="shared" si="41"/>
        <v>110343979.48185056</v>
      </c>
      <c r="N180" t="str">
        <f t="shared" si="42"/>
        <v>0-50</v>
      </c>
      <c r="O180" t="str">
        <f t="shared" si="37"/>
        <v>Up to 10</v>
      </c>
      <c r="P180">
        <f t="shared" si="43"/>
        <v>0.98303700000000005</v>
      </c>
      <c r="Q180">
        <f t="shared" si="44"/>
        <v>0</v>
      </c>
    </row>
    <row r="181" spans="1:17" x14ac:dyDescent="0.3">
      <c r="A181" s="3" t="s">
        <v>378</v>
      </c>
      <c r="B181" t="s">
        <v>379</v>
      </c>
      <c r="C181">
        <v>9.035E-2</v>
      </c>
      <c r="D181">
        <v>211208880</v>
      </c>
      <c r="E181">
        <v>16199656</v>
      </c>
      <c r="F181">
        <v>2.7307199999999998</v>
      </c>
      <c r="G181">
        <v>2340000000</v>
      </c>
      <c r="H181">
        <v>-8.1519674093067152E-2</v>
      </c>
      <c r="I181">
        <v>13.139190647468006</v>
      </c>
      <c r="J181" t="str">
        <f t="shared" si="38"/>
        <v>F</v>
      </c>
      <c r="K181" t="b">
        <f t="shared" si="39"/>
        <v>0</v>
      </c>
      <c r="L181" t="str">
        <f t="shared" si="40"/>
        <v>0.05-0.5</v>
      </c>
      <c r="M181">
        <f t="shared" si="41"/>
        <v>780000004.35255706</v>
      </c>
      <c r="N181" t="str">
        <f t="shared" si="42"/>
        <v>0-50</v>
      </c>
      <c r="O181" t="str">
        <f t="shared" si="37"/>
        <v>Up to 10</v>
      </c>
      <c r="P181">
        <f t="shared" si="43"/>
        <v>9.0423713116235205E-2</v>
      </c>
      <c r="Q181">
        <f t="shared" si="44"/>
        <v>-7.3713116235205045E-5</v>
      </c>
    </row>
    <row r="182" spans="1:17" x14ac:dyDescent="0.3">
      <c r="A182" s="3" t="s">
        <v>380</v>
      </c>
      <c r="B182" t="s">
        <v>381</v>
      </c>
      <c r="C182">
        <v>1.2</v>
      </c>
      <c r="D182">
        <v>207896500</v>
      </c>
      <c r="E182">
        <v>17282039</v>
      </c>
      <c r="F182">
        <v>0.2586</v>
      </c>
      <c r="G182">
        <v>173384825.001344</v>
      </c>
      <c r="H182">
        <v>-0.42772206487220499</v>
      </c>
      <c r="I182">
        <v>-4.5043337213582637</v>
      </c>
      <c r="J182" t="str">
        <f t="shared" si="38"/>
        <v>A</v>
      </c>
      <c r="K182" t="b">
        <f t="shared" si="39"/>
        <v>1</v>
      </c>
      <c r="L182" t="str">
        <f t="shared" si="40"/>
        <v>0.5-5</v>
      </c>
      <c r="M182">
        <f t="shared" si="41"/>
        <v>57794940.023096062</v>
      </c>
      <c r="N182" t="str">
        <f t="shared" si="42"/>
        <v>0-50</v>
      </c>
      <c r="O182" t="str">
        <f t="shared" si="37"/>
        <v>Up to 10</v>
      </c>
      <c r="P182">
        <f t="shared" si="43"/>
        <v>1.2051547126217304</v>
      </c>
      <c r="Q182">
        <f t="shared" si="44"/>
        <v>-5.1547126217303951E-3</v>
      </c>
    </row>
    <row r="183" spans="1:17" x14ac:dyDescent="0.3">
      <c r="A183" s="3" t="s">
        <v>384</v>
      </c>
      <c r="B183" t="s">
        <v>385</v>
      </c>
      <c r="C183">
        <v>0.93042400000000003</v>
      </c>
      <c r="D183">
        <v>207038323</v>
      </c>
      <c r="E183">
        <v>135313434</v>
      </c>
      <c r="F183">
        <v>15.293100000000001</v>
      </c>
      <c r="G183">
        <v>222650000</v>
      </c>
      <c r="H183">
        <v>-0.79547780202328666</v>
      </c>
      <c r="I183">
        <v>129.29528660678614</v>
      </c>
      <c r="J183" t="str">
        <f t="shared" si="38"/>
        <v>B</v>
      </c>
      <c r="K183" t="b">
        <f t="shared" si="39"/>
        <v>1</v>
      </c>
      <c r="L183" t="str">
        <f t="shared" si="40"/>
        <v>0.5-5</v>
      </c>
      <c r="M183">
        <f t="shared" si="41"/>
        <v>74216709.499936268</v>
      </c>
      <c r="N183" t="str">
        <f t="shared" si="42"/>
        <v>0-50</v>
      </c>
      <c r="O183" t="str">
        <f t="shared" si="37"/>
        <v>Up to 10</v>
      </c>
      <c r="P183">
        <f t="shared" si="43"/>
        <v>0.93788466431319217</v>
      </c>
      <c r="Q183">
        <f t="shared" si="44"/>
        <v>-7.4606643131921446E-3</v>
      </c>
    </row>
    <row r="184" spans="1:17" x14ac:dyDescent="0.3">
      <c r="A184" s="3" t="s">
        <v>382</v>
      </c>
      <c r="B184" t="s">
        <v>383</v>
      </c>
      <c r="C184">
        <v>0.76845799999999997</v>
      </c>
      <c r="D184">
        <v>206897302</v>
      </c>
      <c r="E184">
        <v>31053207</v>
      </c>
      <c r="F184">
        <v>3.5968499999999999</v>
      </c>
      <c r="G184">
        <v>268977952.31723797</v>
      </c>
      <c r="H184">
        <v>-0.90660798781897445</v>
      </c>
      <c r="I184">
        <v>-1.0844685199332689</v>
      </c>
      <c r="J184" t="str">
        <f t="shared" si="38"/>
        <v>R</v>
      </c>
      <c r="K184" t="b">
        <f t="shared" si="39"/>
        <v>0</v>
      </c>
      <c r="L184" t="str">
        <f t="shared" si="40"/>
        <v>0.5-5</v>
      </c>
      <c r="M184">
        <f t="shared" si="41"/>
        <v>89659316.775387153</v>
      </c>
      <c r="N184" t="str">
        <f t="shared" si="42"/>
        <v>0-50</v>
      </c>
      <c r="O184" t="str">
        <f t="shared" si="37"/>
        <v>Up to 10</v>
      </c>
      <c r="P184">
        <f t="shared" si="43"/>
        <v>0.7754886419727538</v>
      </c>
      <c r="Q184">
        <f t="shared" si="44"/>
        <v>-7.0306419727538261E-3</v>
      </c>
    </row>
    <row r="185" spans="1:17" x14ac:dyDescent="0.3">
      <c r="A185" s="3" t="s">
        <v>390</v>
      </c>
      <c r="B185" t="s">
        <v>391</v>
      </c>
      <c r="C185">
        <v>2.89</v>
      </c>
      <c r="D185">
        <v>204319449</v>
      </c>
      <c r="E185">
        <v>6172092</v>
      </c>
      <c r="F185">
        <v>1.1685099999999999</v>
      </c>
      <c r="G185">
        <v>70530000</v>
      </c>
      <c r="H185">
        <v>-0.16260815431483883</v>
      </c>
      <c r="I185">
        <v>-7.2877599562878173</v>
      </c>
      <c r="J185" t="str">
        <f t="shared" si="38"/>
        <v>N</v>
      </c>
      <c r="K185" t="b">
        <f t="shared" si="39"/>
        <v>0</v>
      </c>
      <c r="L185" t="str">
        <f t="shared" si="40"/>
        <v>0.5-5</v>
      </c>
      <c r="M185">
        <f t="shared" si="41"/>
        <v>23509997.516543958</v>
      </c>
      <c r="N185" t="str">
        <f t="shared" si="42"/>
        <v>0-50</v>
      </c>
      <c r="O185" t="str">
        <f t="shared" si="37"/>
        <v>Up to 10</v>
      </c>
      <c r="P185">
        <f t="shared" si="43"/>
        <v>2.8947070296737745</v>
      </c>
      <c r="Q185">
        <f t="shared" si="44"/>
        <v>-4.7070296737743433E-3</v>
      </c>
    </row>
    <row r="186" spans="1:17" x14ac:dyDescent="0.3">
      <c r="A186" s="3" t="s">
        <v>386</v>
      </c>
      <c r="B186" t="s">
        <v>387</v>
      </c>
      <c r="C186">
        <v>0.34782600000000002</v>
      </c>
      <c r="D186">
        <v>204079057</v>
      </c>
      <c r="E186">
        <v>12734645</v>
      </c>
      <c r="F186">
        <v>16.126799999999999</v>
      </c>
      <c r="G186">
        <v>587143499</v>
      </c>
      <c r="H186">
        <v>-0.5038008278453715</v>
      </c>
      <c r="I186">
        <v>5.0957629691004964</v>
      </c>
      <c r="J186" t="str">
        <f t="shared" si="38"/>
        <v>G</v>
      </c>
      <c r="K186" t="b">
        <f t="shared" si="39"/>
        <v>0</v>
      </c>
      <c r="L186" t="str">
        <f t="shared" si="40"/>
        <v>0.05-0.5</v>
      </c>
      <c r="M186">
        <f t="shared" si="41"/>
        <v>195714501.1973207</v>
      </c>
      <c r="N186" t="str">
        <f t="shared" si="42"/>
        <v>0-50</v>
      </c>
      <c r="O186" t="str">
        <f t="shared" si="37"/>
        <v>Up to 10</v>
      </c>
      <c r="P186">
        <f t="shared" si="43"/>
        <v>0.3495872233251538</v>
      </c>
      <c r="Q186">
        <f t="shared" si="44"/>
        <v>-1.7612233251537712E-3</v>
      </c>
    </row>
    <row r="187" spans="1:17" x14ac:dyDescent="0.3">
      <c r="A187" s="3" t="s">
        <v>388</v>
      </c>
      <c r="B187" t="s">
        <v>389</v>
      </c>
      <c r="C187">
        <v>0.203241</v>
      </c>
      <c r="D187">
        <v>203704003</v>
      </c>
      <c r="E187">
        <v>8432152</v>
      </c>
      <c r="F187">
        <v>2.0936900000000001</v>
      </c>
      <c r="G187">
        <v>1000000000</v>
      </c>
      <c r="H187">
        <v>-0.87453888258106072</v>
      </c>
      <c r="I187">
        <v>-7.6419899559162312</v>
      </c>
      <c r="J187" t="str">
        <f t="shared" si="38"/>
        <v>T</v>
      </c>
      <c r="K187" t="b">
        <f t="shared" si="39"/>
        <v>0</v>
      </c>
      <c r="L187" t="str">
        <f t="shared" si="40"/>
        <v>0.05-0.5</v>
      </c>
      <c r="M187">
        <f t="shared" si="41"/>
        <v>333333330.49449039</v>
      </c>
      <c r="N187" t="str">
        <f t="shared" si="42"/>
        <v>0-50</v>
      </c>
      <c r="O187" t="str">
        <f t="shared" si="37"/>
        <v>Up to 10</v>
      </c>
      <c r="P187">
        <f t="shared" si="43"/>
        <v>0.20503410295287419</v>
      </c>
      <c r="Q187">
        <f t="shared" si="44"/>
        <v>-1.7931029528741871E-3</v>
      </c>
    </row>
    <row r="188" spans="1:17" ht="28.8" x14ac:dyDescent="0.3">
      <c r="A188" s="3" t="s">
        <v>392</v>
      </c>
      <c r="B188" t="s">
        <v>393</v>
      </c>
      <c r="C188">
        <v>1</v>
      </c>
      <c r="D188">
        <v>202500000</v>
      </c>
      <c r="E188">
        <v>0</v>
      </c>
      <c r="F188">
        <v>0</v>
      </c>
      <c r="G188">
        <v>202500000</v>
      </c>
      <c r="H188">
        <v>0</v>
      </c>
      <c r="I188">
        <v>0</v>
      </c>
      <c r="J188" t="str">
        <f t="shared" si="38"/>
        <v>T</v>
      </c>
      <c r="K188" t="b">
        <f t="shared" si="39"/>
        <v>0</v>
      </c>
      <c r="L188" t="str">
        <f t="shared" si="40"/>
        <v>0.5-5</v>
      </c>
      <c r="M188">
        <f t="shared" si="41"/>
        <v>67500000</v>
      </c>
      <c r="N188" t="str">
        <f t="shared" si="42"/>
        <v>0-50</v>
      </c>
      <c r="O188" t="str">
        <f t="shared" si="37"/>
        <v>Up to 10</v>
      </c>
      <c r="P188">
        <f t="shared" si="43"/>
        <v>1</v>
      </c>
      <c r="Q188">
        <f t="shared" si="44"/>
        <v>0</v>
      </c>
    </row>
    <row r="189" spans="1:17" x14ac:dyDescent="0.3">
      <c r="A189" s="3" t="s">
        <v>394</v>
      </c>
      <c r="B189" t="s">
        <v>395</v>
      </c>
      <c r="C189">
        <v>0.74696399999999996</v>
      </c>
      <c r="D189">
        <v>200721703</v>
      </c>
      <c r="E189">
        <v>8941451</v>
      </c>
      <c r="F189">
        <v>2.0979000000000001</v>
      </c>
      <c r="G189">
        <v>269750000</v>
      </c>
      <c r="H189">
        <v>0.57632346678547186</v>
      </c>
      <c r="I189">
        <v>-28.694899713132511</v>
      </c>
      <c r="J189" t="str">
        <f t="shared" si="38"/>
        <v>P</v>
      </c>
      <c r="K189" t="b">
        <f t="shared" si="39"/>
        <v>0</v>
      </c>
      <c r="L189" t="str">
        <f t="shared" si="40"/>
        <v>0.5-5</v>
      </c>
      <c r="M189">
        <f t="shared" si="41"/>
        <v>89916657.293807909</v>
      </c>
      <c r="N189" t="str">
        <f t="shared" si="42"/>
        <v>0-50</v>
      </c>
      <c r="O189" t="str">
        <f t="shared" si="37"/>
        <v>Up to 10</v>
      </c>
      <c r="P189">
        <f t="shared" si="43"/>
        <v>0.74268373932626286</v>
      </c>
      <c r="Q189">
        <f t="shared" si="44"/>
        <v>4.2802606737371018E-3</v>
      </c>
    </row>
    <row r="190" spans="1:17" x14ac:dyDescent="0.3">
      <c r="A190" s="3" t="s">
        <v>404</v>
      </c>
      <c r="B190" t="s">
        <v>405</v>
      </c>
      <c r="C190">
        <v>8.1731999999999999E-2</v>
      </c>
      <c r="D190">
        <v>198445448</v>
      </c>
      <c r="E190">
        <v>107608043</v>
      </c>
      <c r="F190">
        <v>-27.224499999999999</v>
      </c>
      <c r="G190">
        <v>2428000000</v>
      </c>
      <c r="H190">
        <v>2.053190169349949</v>
      </c>
      <c r="I190">
        <v>-51.941091670988307</v>
      </c>
      <c r="J190" t="str">
        <f t="shared" si="38"/>
        <v>B</v>
      </c>
      <c r="K190" t="b">
        <f t="shared" si="39"/>
        <v>1</v>
      </c>
      <c r="L190" t="str">
        <f t="shared" si="40"/>
        <v>0.05-0.5</v>
      </c>
      <c r="M190">
        <f t="shared" si="41"/>
        <v>809333316.7040329</v>
      </c>
      <c r="N190" t="str">
        <f t="shared" si="42"/>
        <v>0-50</v>
      </c>
      <c r="O190" t="str">
        <f t="shared" si="37"/>
        <v>Up to 10</v>
      </c>
      <c r="P190">
        <f t="shared" si="43"/>
        <v>8.0087648278678605E-2</v>
      </c>
      <c r="Q190">
        <f t="shared" si="44"/>
        <v>1.6443517213213937E-3</v>
      </c>
    </row>
    <row r="191" spans="1:17" x14ac:dyDescent="0.3">
      <c r="A191" s="3" t="s">
        <v>396</v>
      </c>
      <c r="B191" t="s">
        <v>397</v>
      </c>
      <c r="C191">
        <v>0.19622300000000001</v>
      </c>
      <c r="D191">
        <v>195994047</v>
      </c>
      <c r="E191">
        <v>27650799</v>
      </c>
      <c r="F191">
        <v>1.8666</v>
      </c>
      <c r="G191">
        <v>998926392</v>
      </c>
      <c r="H191">
        <v>-0.53044355158678147</v>
      </c>
      <c r="I191">
        <v>-9.0071225599279394</v>
      </c>
      <c r="J191" t="str">
        <f t="shared" si="38"/>
        <v>d</v>
      </c>
      <c r="K191" t="b">
        <f t="shared" si="39"/>
        <v>1</v>
      </c>
      <c r="L191" t="str">
        <f t="shared" si="40"/>
        <v>0.05-0.5</v>
      </c>
      <c r="M191">
        <f t="shared" si="41"/>
        <v>332975460.82081133</v>
      </c>
      <c r="N191" t="str">
        <f t="shared" si="42"/>
        <v>0-50</v>
      </c>
      <c r="O191" t="str">
        <f t="shared" si="37"/>
        <v>Up to 10</v>
      </c>
      <c r="P191">
        <f t="shared" si="43"/>
        <v>0.19726940282654717</v>
      </c>
      <c r="Q191">
        <f t="shared" si="44"/>
        <v>-1.0464028265471659E-3</v>
      </c>
    </row>
    <row r="192" spans="1:17" x14ac:dyDescent="0.3">
      <c r="A192" s="3" t="s">
        <v>398</v>
      </c>
      <c r="B192" t="s">
        <v>399</v>
      </c>
      <c r="C192">
        <v>0.439969</v>
      </c>
      <c r="D192">
        <v>194782500</v>
      </c>
      <c r="E192">
        <v>55304403</v>
      </c>
      <c r="F192">
        <v>-0.79961000000000004</v>
      </c>
      <c r="G192">
        <v>447274118</v>
      </c>
      <c r="H192">
        <v>-3.6650378254042031</v>
      </c>
      <c r="I192">
        <v>29.372409048940156</v>
      </c>
      <c r="J192" t="str">
        <f t="shared" si="38"/>
        <v>O</v>
      </c>
      <c r="K192" t="b">
        <f t="shared" si="39"/>
        <v>1</v>
      </c>
      <c r="L192" t="str">
        <f t="shared" si="40"/>
        <v>0.05-0.5</v>
      </c>
      <c r="M192">
        <f t="shared" si="41"/>
        <v>149091381.2357904</v>
      </c>
      <c r="N192" t="str">
        <f t="shared" si="42"/>
        <v>0-50</v>
      </c>
      <c r="O192" t="str">
        <f t="shared" si="37"/>
        <v>Up to 10</v>
      </c>
      <c r="P192">
        <f t="shared" si="43"/>
        <v>0.45670750272638078</v>
      </c>
      <c r="Q192">
        <f t="shared" si="44"/>
        <v>-1.6738502726380777E-2</v>
      </c>
    </row>
    <row r="193" spans="1:17" x14ac:dyDescent="0.3">
      <c r="A193" s="3" t="s">
        <v>402</v>
      </c>
      <c r="B193" t="s">
        <v>403</v>
      </c>
      <c r="C193">
        <v>7.2418999999999997E-2</v>
      </c>
      <c r="D193">
        <v>193152318</v>
      </c>
      <c r="E193">
        <v>12927495</v>
      </c>
      <c r="F193">
        <v>1.44208</v>
      </c>
      <c r="G193">
        <v>2667289212.2233224</v>
      </c>
      <c r="H193">
        <v>-0.38325574458021366</v>
      </c>
      <c r="I193">
        <v>-6.1037682714714938</v>
      </c>
      <c r="J193" t="str">
        <f t="shared" si="38"/>
        <v>T</v>
      </c>
      <c r="K193" t="b">
        <f t="shared" si="39"/>
        <v>0</v>
      </c>
      <c r="L193" t="str">
        <f t="shared" si="40"/>
        <v>0.05-0.5</v>
      </c>
      <c r="M193">
        <f t="shared" si="41"/>
        <v>889096401.91209936</v>
      </c>
      <c r="N193" t="str">
        <f t="shared" si="42"/>
        <v>0-50</v>
      </c>
      <c r="O193" t="str">
        <f t="shared" si="37"/>
        <v>Up to 10</v>
      </c>
      <c r="P193">
        <f t="shared" si="43"/>
        <v>7.2697617796377581E-2</v>
      </c>
      <c r="Q193">
        <f t="shared" si="44"/>
        <v>-2.7861779637758377E-4</v>
      </c>
    </row>
    <row r="194" spans="1:17" x14ac:dyDescent="0.3">
      <c r="A194" s="3" t="s">
        <v>400</v>
      </c>
      <c r="B194" t="s">
        <v>401</v>
      </c>
      <c r="C194">
        <v>0.46341100000000002</v>
      </c>
      <c r="D194">
        <v>193042907</v>
      </c>
      <c r="E194">
        <v>7466340</v>
      </c>
      <c r="F194">
        <v>0.45784999999999998</v>
      </c>
      <c r="G194">
        <v>416649900</v>
      </c>
      <c r="H194">
        <v>-1.0515680697051739</v>
      </c>
      <c r="I194">
        <v>-8.0751598844182162</v>
      </c>
      <c r="J194" t="str">
        <f t="shared" ref="J194:J201" si="45">LEFT(B194,1)</f>
        <v>T</v>
      </c>
      <c r="K194" t="b">
        <f t="shared" ref="K194:K201" si="46">OR(J194="A",J194="E",J194="I",J194="O",J194="U",J194="B",J194="C",J194="D")</f>
        <v>0</v>
      </c>
      <c r="L194" t="str">
        <f t="shared" ref="L194:L201" si="47">IF(C194&lt;=0.05,"0-0.05",IF(C194&lt;=0.5,"0.05-0.5",IF(C194&lt;=5,"0.5-5",IF(C194&lt;=50,"5-50","&gt;50"))))</f>
        <v>0.05-0.5</v>
      </c>
      <c r="M194">
        <f t="shared" ref="M194:M201" si="48">ABS(AVERAGE(G194,H194,I194))</f>
        <v>138883296.95775732</v>
      </c>
      <c r="N194" t="str">
        <f t="shared" ref="N194:N201" si="49">IF(C194&lt;=50,"0-50","&gt;50")</f>
        <v>0-50</v>
      </c>
      <c r="O194" t="str">
        <f t="shared" si="37"/>
        <v>Up to 10</v>
      </c>
      <c r="P194">
        <f t="shared" ref="P194:P201" si="50">C194/(1+(H194/100))</f>
        <v>0.46833587047286851</v>
      </c>
      <c r="Q194">
        <f t="shared" ref="Q194:Q201" si="51">C194-P194</f>
        <v>-4.9248704728684922E-3</v>
      </c>
    </row>
    <row r="195" spans="1:17" x14ac:dyDescent="0.3">
      <c r="A195" s="3" t="s">
        <v>406</v>
      </c>
      <c r="B195" t="s">
        <v>407</v>
      </c>
      <c r="C195">
        <v>0.19168399999999999</v>
      </c>
      <c r="D195">
        <v>191656259</v>
      </c>
      <c r="E195">
        <v>22918332</v>
      </c>
      <c r="F195">
        <v>3.6236999999999999</v>
      </c>
      <c r="G195">
        <v>999975745.89123499</v>
      </c>
      <c r="H195">
        <v>-1.0280060505233499</v>
      </c>
      <c r="I195">
        <v>-10.506516801921236</v>
      </c>
      <c r="J195" t="str">
        <f t="shared" si="45"/>
        <v>F</v>
      </c>
      <c r="K195" t="b">
        <f t="shared" si="46"/>
        <v>0</v>
      </c>
      <c r="L195" t="str">
        <f t="shared" si="47"/>
        <v>0.05-0.5</v>
      </c>
      <c r="M195">
        <f t="shared" si="48"/>
        <v>333325244.78557068</v>
      </c>
      <c r="N195" t="str">
        <f t="shared" si="49"/>
        <v>0-50</v>
      </c>
      <c r="O195" t="str">
        <f t="shared" si="37"/>
        <v>Up to 10</v>
      </c>
      <c r="P195">
        <f t="shared" si="50"/>
        <v>0.1936749906219441</v>
      </c>
      <c r="Q195">
        <f t="shared" si="51"/>
        <v>-1.9909906219441054E-3</v>
      </c>
    </row>
    <row r="196" spans="1:17" x14ac:dyDescent="0.3">
      <c r="A196" s="3" t="s">
        <v>408</v>
      </c>
      <c r="B196" t="s">
        <v>409</v>
      </c>
      <c r="C196">
        <v>1.51</v>
      </c>
      <c r="D196">
        <v>188281229</v>
      </c>
      <c r="E196">
        <v>172487</v>
      </c>
      <c r="F196">
        <v>-0.75931999999999999</v>
      </c>
      <c r="G196">
        <v>124818848.125</v>
      </c>
      <c r="H196">
        <v>-7.0580783258457416E-2</v>
      </c>
      <c r="I196">
        <v>-2.0933953161405063</v>
      </c>
      <c r="J196" t="str">
        <f t="shared" si="45"/>
        <v>U</v>
      </c>
      <c r="K196" t="b">
        <f t="shared" si="46"/>
        <v>1</v>
      </c>
      <c r="L196" t="str">
        <f t="shared" si="47"/>
        <v>0.5-5</v>
      </c>
      <c r="M196">
        <f t="shared" si="48"/>
        <v>41606281.987007968</v>
      </c>
      <c r="N196" t="str">
        <f t="shared" si="49"/>
        <v>0-50</v>
      </c>
      <c r="O196" t="str">
        <f t="shared" ref="O196:O201" si="52">IF(C195&lt;10,"Up to 10","&gt;=10")</f>
        <v>Up to 10</v>
      </c>
      <c r="P196">
        <f t="shared" si="50"/>
        <v>1.5110665225871984</v>
      </c>
      <c r="Q196">
        <f t="shared" si="51"/>
        <v>-1.0665225871984152E-3</v>
      </c>
    </row>
    <row r="197" spans="1:17" x14ac:dyDescent="0.3">
      <c r="A197" s="3" t="s">
        <v>410</v>
      </c>
      <c r="B197" t="s">
        <v>411</v>
      </c>
      <c r="C197">
        <v>1.1499999999999999</v>
      </c>
      <c r="D197">
        <v>185044439</v>
      </c>
      <c r="E197">
        <v>7894216</v>
      </c>
      <c r="F197">
        <v>1.96709</v>
      </c>
      <c r="G197">
        <v>162061501</v>
      </c>
      <c r="H197">
        <v>-0.48562761328483611</v>
      </c>
      <c r="I197">
        <v>6.1040954573879143</v>
      </c>
      <c r="J197" t="str">
        <f t="shared" si="45"/>
        <v>B</v>
      </c>
      <c r="K197" t="b">
        <f t="shared" si="46"/>
        <v>1</v>
      </c>
      <c r="L197" t="str">
        <f t="shared" si="47"/>
        <v>0.5-5</v>
      </c>
      <c r="M197">
        <f t="shared" si="48"/>
        <v>54020502.206155948</v>
      </c>
      <c r="N197" t="str">
        <f t="shared" si="49"/>
        <v>0-50</v>
      </c>
      <c r="O197" t="str">
        <f t="shared" si="52"/>
        <v>Up to 10</v>
      </c>
      <c r="P197">
        <f t="shared" si="50"/>
        <v>1.155611970832789</v>
      </c>
      <c r="Q197">
        <f t="shared" si="51"/>
        <v>-5.6119708327890816E-3</v>
      </c>
    </row>
    <row r="198" spans="1:17" x14ac:dyDescent="0.3">
      <c r="A198" s="3" t="s">
        <v>412</v>
      </c>
      <c r="B198" t="s">
        <v>413</v>
      </c>
      <c r="C198">
        <v>4.7894599999999997E-3</v>
      </c>
      <c r="D198">
        <v>183071710</v>
      </c>
      <c r="E198">
        <v>4275494</v>
      </c>
      <c r="F198">
        <v>0.52346000000000004</v>
      </c>
      <c r="G198">
        <v>38226313934.617386</v>
      </c>
      <c r="H198">
        <v>-8.0085619634541722E-2</v>
      </c>
      <c r="I198">
        <v>-4.2133778240596405</v>
      </c>
      <c r="J198" t="str">
        <f t="shared" si="45"/>
        <v>O</v>
      </c>
      <c r="K198" t="b">
        <f t="shared" si="46"/>
        <v>1</v>
      </c>
      <c r="L198" t="str">
        <f t="shared" si="47"/>
        <v>0-0.05</v>
      </c>
      <c r="M198">
        <f t="shared" si="48"/>
        <v>12742104643.441307</v>
      </c>
      <c r="N198" t="str">
        <f t="shared" si="49"/>
        <v>0-50</v>
      </c>
      <c r="O198" t="str">
        <f t="shared" si="52"/>
        <v>Up to 10</v>
      </c>
      <c r="P198">
        <f t="shared" si="50"/>
        <v>4.7932987429992651E-3</v>
      </c>
      <c r="Q198">
        <f t="shared" si="51"/>
        <v>-3.8387429992653432E-6</v>
      </c>
    </row>
    <row r="199" spans="1:17" x14ac:dyDescent="0.3">
      <c r="A199" s="3" t="s">
        <v>414</v>
      </c>
      <c r="B199" t="s">
        <v>415</v>
      </c>
      <c r="C199">
        <v>1.079</v>
      </c>
      <c r="D199">
        <v>182450322</v>
      </c>
      <c r="E199">
        <v>10083252</v>
      </c>
      <c r="F199">
        <v>2.6919999999999999E-2</v>
      </c>
      <c r="G199">
        <v>169151027.93535909</v>
      </c>
      <c r="H199">
        <v>3.9852367650472558E-4</v>
      </c>
      <c r="I199">
        <v>0.19969443738751713</v>
      </c>
      <c r="J199" t="str">
        <f t="shared" si="45"/>
        <v>R</v>
      </c>
      <c r="K199" t="b">
        <f t="shared" si="46"/>
        <v>0</v>
      </c>
      <c r="L199" t="str">
        <f t="shared" si="47"/>
        <v>0.5-5</v>
      </c>
      <c r="M199">
        <f t="shared" si="48"/>
        <v>56383676.045150675</v>
      </c>
      <c r="N199" t="str">
        <f t="shared" si="49"/>
        <v>0-50</v>
      </c>
      <c r="O199" t="str">
        <f t="shared" si="52"/>
        <v>Up to 10</v>
      </c>
      <c r="P199">
        <f t="shared" si="50"/>
        <v>1.0789956999466672</v>
      </c>
      <c r="Q199">
        <f t="shared" si="51"/>
        <v>4.3000533327397505E-6</v>
      </c>
    </row>
    <row r="200" spans="1:17" x14ac:dyDescent="0.3">
      <c r="A200" s="3" t="s">
        <v>416</v>
      </c>
      <c r="B200" t="s">
        <v>417</v>
      </c>
      <c r="C200">
        <v>1.36</v>
      </c>
      <c r="D200">
        <v>181666965</v>
      </c>
      <c r="E200">
        <v>414221</v>
      </c>
      <c r="F200">
        <v>6.0470000000000003E-2</v>
      </c>
      <c r="G200">
        <v>133187995.73888969</v>
      </c>
      <c r="H200">
        <v>-9.2043837236484405E-2</v>
      </c>
      <c r="I200">
        <v>0.2432015043838093</v>
      </c>
      <c r="J200" t="str">
        <f t="shared" si="45"/>
        <v>a</v>
      </c>
      <c r="K200" t="b">
        <f t="shared" si="46"/>
        <v>1</v>
      </c>
      <c r="L200" t="str">
        <f t="shared" si="47"/>
        <v>0.5-5</v>
      </c>
      <c r="M200">
        <f t="shared" si="48"/>
        <v>44395998.63001579</v>
      </c>
      <c r="N200" t="str">
        <f t="shared" si="49"/>
        <v>0-50</v>
      </c>
      <c r="O200" t="str">
        <f t="shared" si="52"/>
        <v>Up to 10</v>
      </c>
      <c r="P200">
        <f t="shared" si="50"/>
        <v>1.3612529494491681</v>
      </c>
      <c r="Q200">
        <f t="shared" si="51"/>
        <v>-1.2529494491679838E-3</v>
      </c>
    </row>
    <row r="201" spans="1:17" x14ac:dyDescent="0.3">
      <c r="A201" s="3" t="s">
        <v>418</v>
      </c>
      <c r="B201" t="s">
        <v>419</v>
      </c>
      <c r="C201">
        <v>1.1000000000000001</v>
      </c>
      <c r="D201">
        <v>181529558</v>
      </c>
      <c r="E201">
        <v>795166</v>
      </c>
      <c r="F201">
        <v>-1.5769999999999999E-2</v>
      </c>
      <c r="G201">
        <v>164555865.561941</v>
      </c>
      <c r="H201">
        <v>1.199410326652639E-2</v>
      </c>
      <c r="I201">
        <v>0.16971880334998318</v>
      </c>
      <c r="J201" t="str">
        <f t="shared" si="45"/>
        <v>O</v>
      </c>
      <c r="K201" t="b">
        <f t="shared" si="46"/>
        <v>1</v>
      </c>
      <c r="L201" t="str">
        <f t="shared" si="47"/>
        <v>0.5-5</v>
      </c>
      <c r="M201">
        <f t="shared" si="48"/>
        <v>54851955.247884631</v>
      </c>
      <c r="N201" t="str">
        <f t="shared" si="49"/>
        <v>0-50</v>
      </c>
      <c r="O201" t="str">
        <f t="shared" si="52"/>
        <v>Up to 10</v>
      </c>
      <c r="P201">
        <f t="shared" si="50"/>
        <v>1.0998680806866068</v>
      </c>
      <c r="Q201">
        <f t="shared" si="51"/>
        <v>1.3191931339329166E-4</v>
      </c>
    </row>
  </sheetData>
  <phoneticPr fontId="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BAA98-C398-4669-A4E4-86CEF185796C}">
  <sheetPr codeName="Sheet4"/>
  <dimension ref="A3:B16"/>
  <sheetViews>
    <sheetView workbookViewId="0">
      <selection activeCell="Q10" sqref="Q10"/>
    </sheetView>
  </sheetViews>
  <sheetFormatPr defaultRowHeight="14.4" x14ac:dyDescent="0.3"/>
  <cols>
    <col min="1" max="1" width="12.5546875" bestFit="1" customWidth="1"/>
    <col min="2" max="2" width="18.33203125" bestFit="1" customWidth="1"/>
    <col min="3" max="3" width="5" bestFit="1" customWidth="1"/>
    <col min="4" max="5" width="6" bestFit="1" customWidth="1"/>
    <col min="6" max="11" width="7" bestFit="1" customWidth="1"/>
    <col min="12" max="33" width="8" bestFit="1" customWidth="1"/>
    <col min="34" max="67" width="9" bestFit="1" customWidth="1"/>
    <col min="68" max="83" width="10" bestFit="1" customWidth="1"/>
    <col min="84" max="84" width="11" bestFit="1" customWidth="1"/>
    <col min="85" max="87" width="12" bestFit="1" customWidth="1"/>
    <col min="88" max="88" width="10.77734375" bestFit="1" customWidth="1"/>
    <col min="89" max="151" width="9" bestFit="1" customWidth="1"/>
    <col min="152" max="184" width="10" bestFit="1" customWidth="1"/>
    <col min="185" max="189" width="11" bestFit="1" customWidth="1"/>
    <col min="190" max="193" width="12" bestFit="1" customWidth="1"/>
    <col min="194" max="194" width="10.77734375" bestFit="1" customWidth="1"/>
  </cols>
  <sheetData>
    <row r="3" spans="1:2" x14ac:dyDescent="0.3">
      <c r="A3" s="4" t="s">
        <v>430</v>
      </c>
      <c r="B3" t="s">
        <v>435</v>
      </c>
    </row>
    <row r="5" spans="1:2" x14ac:dyDescent="0.3">
      <c r="A5" s="4" t="s">
        <v>433</v>
      </c>
      <c r="B5" t="s">
        <v>436</v>
      </c>
    </row>
    <row r="6" spans="1:2" x14ac:dyDescent="0.3">
      <c r="A6" s="5" t="s">
        <v>21</v>
      </c>
      <c r="B6">
        <v>27706270538</v>
      </c>
    </row>
    <row r="7" spans="1:2" x14ac:dyDescent="0.3">
      <c r="A7" s="5" t="s">
        <v>53</v>
      </c>
      <c r="B7">
        <v>374857426</v>
      </c>
    </row>
    <row r="8" spans="1:2" x14ac:dyDescent="0.3">
      <c r="A8" s="5" t="s">
        <v>27</v>
      </c>
      <c r="B8">
        <v>621619496</v>
      </c>
    </row>
    <row r="9" spans="1:2" x14ac:dyDescent="0.3">
      <c r="A9" s="5" t="s">
        <v>51</v>
      </c>
      <c r="B9">
        <v>336057058</v>
      </c>
    </row>
    <row r="10" spans="1:2" x14ac:dyDescent="0.3">
      <c r="A10" s="5" t="s">
        <v>57</v>
      </c>
      <c r="B10">
        <v>299620032</v>
      </c>
    </row>
    <row r="11" spans="1:2" x14ac:dyDescent="0.3">
      <c r="A11" s="5" t="s">
        <v>39</v>
      </c>
      <c r="B11">
        <v>690699522</v>
      </c>
    </row>
    <row r="12" spans="1:2" x14ac:dyDescent="0.3">
      <c r="A12" s="5" t="s">
        <v>23</v>
      </c>
      <c r="B12">
        <v>11467644219</v>
      </c>
    </row>
    <row r="13" spans="1:2" x14ac:dyDescent="0.3">
      <c r="A13" s="5" t="s">
        <v>111</v>
      </c>
      <c r="B13">
        <v>257627665</v>
      </c>
    </row>
    <row r="14" spans="1:2" x14ac:dyDescent="0.3">
      <c r="A14" s="5" t="s">
        <v>65</v>
      </c>
      <c r="B14">
        <v>2185445563</v>
      </c>
    </row>
    <row r="15" spans="1:2" x14ac:dyDescent="0.3">
      <c r="A15" s="5" t="s">
        <v>31</v>
      </c>
      <c r="B15">
        <v>12637332810</v>
      </c>
    </row>
    <row r="16" spans="1:2" x14ac:dyDescent="0.3">
      <c r="A16" s="5" t="s">
        <v>434</v>
      </c>
      <c r="B16">
        <v>56577174329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8D45C-A3C4-4A39-AF52-1365358DBD52}">
  <dimension ref="A1:H17"/>
  <sheetViews>
    <sheetView topLeftCell="A3" zoomScale="87" workbookViewId="0">
      <selection activeCell="F14" sqref="F14"/>
    </sheetView>
  </sheetViews>
  <sheetFormatPr defaultRowHeight="14.4" x14ac:dyDescent="0.3"/>
  <cols>
    <col min="2" max="2" width="23.109375" bestFit="1" customWidth="1"/>
    <col min="3" max="3" width="13.44140625" bestFit="1" customWidth="1"/>
  </cols>
  <sheetData>
    <row r="1" spans="1:8" ht="18" x14ac:dyDescent="0.35">
      <c r="A1" s="22" t="s">
        <v>444</v>
      </c>
      <c r="B1" s="23"/>
      <c r="C1" s="23"/>
    </row>
    <row r="2" spans="1:8" x14ac:dyDescent="0.3">
      <c r="A2" s="7" t="s">
        <v>437</v>
      </c>
      <c r="B2" s="7" t="s">
        <v>21</v>
      </c>
      <c r="C2" s="7"/>
    </row>
    <row r="3" spans="1:8" x14ac:dyDescent="0.3">
      <c r="A3" s="7" t="s">
        <v>438</v>
      </c>
      <c r="B3" s="7" t="s">
        <v>23</v>
      </c>
      <c r="C3" s="7"/>
    </row>
    <row r="4" spans="1:8" x14ac:dyDescent="0.3">
      <c r="A4" s="7"/>
      <c r="B4" s="7"/>
      <c r="C4" s="7"/>
    </row>
    <row r="5" spans="1:8" x14ac:dyDescent="0.3">
      <c r="A5" s="7"/>
      <c r="B5" s="7"/>
      <c r="C5" s="7"/>
    </row>
    <row r="6" spans="1:8" x14ac:dyDescent="0.3">
      <c r="A6" s="8" t="s">
        <v>439</v>
      </c>
      <c r="B6" s="8" t="s">
        <v>437</v>
      </c>
      <c r="C6" s="8" t="s">
        <v>438</v>
      </c>
    </row>
    <row r="7" spans="1:8" x14ac:dyDescent="0.3">
      <c r="A7" s="8" t="s">
        <v>420</v>
      </c>
      <c r="B7" s="8" t="str">
        <f>_xlfn.XLOOKUP($B$2,Clean_Data!B:B,Clean_Data!A:A,"Not Found")</f>
        <v>btc</v>
      </c>
      <c r="C7" s="8" t="str">
        <f>_xlfn.XLOOKUP($B$3,Clean_Data!B:B,Clean_Data!A:A,"Not Found")</f>
        <v>eth</v>
      </c>
    </row>
    <row r="8" spans="1:8" x14ac:dyDescent="0.3">
      <c r="A8" s="8" t="s">
        <v>440</v>
      </c>
      <c r="B8" s="9">
        <f>_xlfn.XLOOKUP($B$2,Clean_Data!B:B,Clean_Data!C:C,"Not Found")</f>
        <v>77625</v>
      </c>
      <c r="C8" s="9">
        <f>_xlfn.XLOOKUP($B$3,Clean_Data!B:B,Clean_Data!C:C,"Not Found")</f>
        <v>2127.3200000000002</v>
      </c>
      <c r="H8" s="6"/>
    </row>
    <row r="9" spans="1:8" x14ac:dyDescent="0.3">
      <c r="A9" s="8" t="s">
        <v>441</v>
      </c>
      <c r="B9" s="8">
        <f>_xlfn.XLOOKUP($B$2,Clean_Data!B:B,Clean_Data!E:E,"Not Found")</f>
        <v>27706270538</v>
      </c>
      <c r="C9" s="8">
        <f>_xlfn.XLOOKUP($B$3,Clean_Data!B:B,Clean_Data!E:E,"Not Found")</f>
        <v>11467644219</v>
      </c>
    </row>
    <row r="10" spans="1:8" ht="28.8" x14ac:dyDescent="0.3">
      <c r="A10" s="10" t="s">
        <v>442</v>
      </c>
      <c r="B10" s="8">
        <f>_xlfn.XLOOKUP($B$2,Clean_Data!B:B,Clean_Data!D:D,"Not Found")</f>
        <v>1555086049689</v>
      </c>
      <c r="C10" s="8">
        <f>_xlfn.XLOOKUP($B$3,Clean_Data!B:B,Clean_Data!D:D,"Not Found")</f>
        <v>256742909305</v>
      </c>
    </row>
    <row r="11" spans="1:8" ht="43.2" x14ac:dyDescent="0.3">
      <c r="A11" s="10" t="s">
        <v>443</v>
      </c>
      <c r="B11" s="8">
        <f>_xlfn.XLOOKUP($B$2,Clean_Data!B:B,Clean_Data!G:G,"Not Found")</f>
        <v>20032296</v>
      </c>
      <c r="C11" s="8">
        <f>_xlfn.XLOOKUP($B$3,Clean_Data!B:B,Clean_Data!G:G,"Not Found")</f>
        <v>120685618.4990976</v>
      </c>
    </row>
    <row r="12" spans="1:8" x14ac:dyDescent="0.3">
      <c r="A12" s="7"/>
      <c r="B12" s="7"/>
      <c r="C12" s="7"/>
    </row>
    <row r="13" spans="1:8" x14ac:dyDescent="0.3">
      <c r="A13" s="7"/>
      <c r="B13" s="7"/>
      <c r="C13" s="7"/>
    </row>
    <row r="14" spans="1:8" ht="43.2" x14ac:dyDescent="0.3">
      <c r="A14" s="10" t="s">
        <v>445</v>
      </c>
      <c r="B14" s="11">
        <f>B9-C9</f>
        <v>16238626319</v>
      </c>
      <c r="C14" s="7"/>
    </row>
    <row r="15" spans="1:8" ht="57.6" x14ac:dyDescent="0.3">
      <c r="A15" s="10" t="s">
        <v>446</v>
      </c>
      <c r="B15" s="11">
        <f>B10-C10</f>
        <v>1298343140384</v>
      </c>
      <c r="C15" s="7"/>
    </row>
    <row r="16" spans="1:8" ht="43.2" x14ac:dyDescent="0.3">
      <c r="A16" s="10" t="s">
        <v>447</v>
      </c>
      <c r="B16" s="11">
        <f>B11-C11</f>
        <v>-100653322.4990976</v>
      </c>
      <c r="C16" s="7"/>
    </row>
    <row r="17" spans="1:3" x14ac:dyDescent="0.3">
      <c r="A17" s="7"/>
      <c r="B17" s="7"/>
      <c r="C17" s="7"/>
    </row>
  </sheetData>
  <mergeCells count="1">
    <mergeCell ref="A1:C1"/>
  </mergeCells>
  <conditionalFormatting sqref="B14:B16">
    <cfRule type="cellIs" dxfId="25" priority="1" operator="lessThan">
      <formula>0</formula>
    </cfRule>
    <cfRule type="cellIs" dxfId="24" priority="2" operator="greaterThan">
      <formula>0</formula>
    </cfRule>
    <cfRule type="cellIs" dxfId="23" priority="3" operator="greaterThan">
      <formula>0</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B53DF04-DF12-4530-8D9A-D634E927C64B}">
          <x14:formula1>
            <xm:f>Clean_Data!B2:B201</xm:f>
          </x14:formula1>
          <xm:sqref>B2:B3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0FD4D-1EE5-4A94-B35A-E29039ABA05A}">
  <dimension ref="A1:H18"/>
  <sheetViews>
    <sheetView workbookViewId="0">
      <selection activeCell="L22" sqref="L22"/>
    </sheetView>
  </sheetViews>
  <sheetFormatPr defaultRowHeight="14.4" x14ac:dyDescent="0.3"/>
  <cols>
    <col min="1" max="1" width="12.5546875" bestFit="1" customWidth="1"/>
    <col min="2" max="2" width="18.33203125" bestFit="1" customWidth="1"/>
  </cols>
  <sheetData>
    <row r="1" spans="1:2" x14ac:dyDescent="0.3">
      <c r="A1" s="4" t="s">
        <v>431</v>
      </c>
      <c r="B1" t="s">
        <v>448</v>
      </c>
    </row>
    <row r="3" spans="1:2" x14ac:dyDescent="0.3">
      <c r="A3" s="4" t="s">
        <v>433</v>
      </c>
      <c r="B3" t="s">
        <v>436</v>
      </c>
    </row>
    <row r="4" spans="1:2" x14ac:dyDescent="0.3">
      <c r="A4" s="5" t="s">
        <v>21</v>
      </c>
      <c r="B4">
        <v>27706270538</v>
      </c>
    </row>
    <row r="5" spans="1:2" x14ac:dyDescent="0.3">
      <c r="A5" s="5" t="s">
        <v>23</v>
      </c>
      <c r="B5">
        <v>11467644219</v>
      </c>
    </row>
    <row r="6" spans="1:2" x14ac:dyDescent="0.3">
      <c r="A6" s="5" t="s">
        <v>41</v>
      </c>
      <c r="B6">
        <v>1363799400</v>
      </c>
    </row>
    <row r="7" spans="1:2" x14ac:dyDescent="0.3">
      <c r="A7" s="5" t="s">
        <v>33</v>
      </c>
      <c r="B7">
        <v>3111805213</v>
      </c>
    </row>
    <row r="8" spans="1:2" x14ac:dyDescent="0.3">
      <c r="A8" s="5" t="s">
        <v>67</v>
      </c>
      <c r="B8">
        <v>768028698</v>
      </c>
    </row>
    <row r="9" spans="1:2" x14ac:dyDescent="0.3">
      <c r="A9" s="5" t="s">
        <v>25</v>
      </c>
      <c r="B9">
        <v>50796303933</v>
      </c>
    </row>
    <row r="10" spans="1:2" x14ac:dyDescent="0.3">
      <c r="A10" s="5" t="s">
        <v>65</v>
      </c>
      <c r="B10">
        <v>2185445563</v>
      </c>
    </row>
    <row r="11" spans="1:2" x14ac:dyDescent="0.3">
      <c r="A11" s="5" t="s">
        <v>31</v>
      </c>
      <c r="B11">
        <v>12637332810</v>
      </c>
    </row>
    <row r="12" spans="1:2" x14ac:dyDescent="0.3">
      <c r="A12" s="5" t="s">
        <v>29</v>
      </c>
      <c r="B12">
        <v>1470380370</v>
      </c>
    </row>
    <row r="13" spans="1:2" x14ac:dyDescent="0.3">
      <c r="A13" s="5" t="s">
        <v>45</v>
      </c>
      <c r="B13">
        <v>1133038170</v>
      </c>
    </row>
    <row r="14" spans="1:2" x14ac:dyDescent="0.3">
      <c r="A14" s="5" t="s">
        <v>434</v>
      </c>
      <c r="B14">
        <v>112640048914</v>
      </c>
    </row>
    <row r="18" spans="5:8" ht="18" x14ac:dyDescent="0.35">
      <c r="E18" s="12" t="s">
        <v>453</v>
      </c>
      <c r="F18" s="12"/>
      <c r="G18" s="12"/>
      <c r="H18" s="1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930A-94E6-4C2F-BE97-6EDC00D7CDD9}">
  <dimension ref="A1:D7"/>
  <sheetViews>
    <sheetView workbookViewId="0">
      <selection activeCell="D7" sqref="D7"/>
    </sheetView>
  </sheetViews>
  <sheetFormatPr defaultRowHeight="14.4" x14ac:dyDescent="0.3"/>
  <cols>
    <col min="2" max="2" width="12" bestFit="1" customWidth="1"/>
    <col min="4" max="4" width="12" bestFit="1" customWidth="1"/>
  </cols>
  <sheetData>
    <row r="1" spans="1:4" ht="28.8" x14ac:dyDescent="0.3">
      <c r="A1" t="s">
        <v>449</v>
      </c>
      <c r="B1" t="s">
        <v>441</v>
      </c>
      <c r="D1" s="3" t="s">
        <v>450</v>
      </c>
    </row>
    <row r="2" spans="1:4" x14ac:dyDescent="0.3">
      <c r="A2" t="str">
        <f>Dashboard_3!A4</f>
        <v>Bitcoin</v>
      </c>
      <c r="B2">
        <f>Dashboard_3!B4</f>
        <v>27706270538</v>
      </c>
      <c r="D2">
        <f>SUM(Clean_Data!E:E)</f>
        <v>123489237827.86</v>
      </c>
    </row>
    <row r="3" spans="1:4" x14ac:dyDescent="0.3">
      <c r="A3" t="str">
        <f>Dashboard_3!A5</f>
        <v>Ethereum</v>
      </c>
      <c r="B3">
        <f>Dashboard_3!B5</f>
        <v>11467644219</v>
      </c>
    </row>
    <row r="4" spans="1:4" x14ac:dyDescent="0.3">
      <c r="A4" s="3" t="str">
        <f>Dashboard_3!A6</f>
        <v>Hyperliquid</v>
      </c>
      <c r="B4">
        <f>Dashboard_3!B6</f>
        <v>1363799400</v>
      </c>
      <c r="D4" t="s">
        <v>451</v>
      </c>
    </row>
    <row r="5" spans="1:4" x14ac:dyDescent="0.3">
      <c r="A5" t="str">
        <f>Dashboard_3!A7</f>
        <v>Solana</v>
      </c>
      <c r="B5">
        <f>Dashboard_3!B7</f>
        <v>3111805213</v>
      </c>
      <c r="D5">
        <f>SUM(B2:B6)</f>
        <v>44417548068</v>
      </c>
    </row>
    <row r="6" spans="1:4" x14ac:dyDescent="0.3">
      <c r="A6" t="str">
        <f>Dashboard_3!A8</f>
        <v>Sui</v>
      </c>
      <c r="B6">
        <f>Dashboard_3!B8</f>
        <v>768028698</v>
      </c>
    </row>
    <row r="7" spans="1:4" x14ac:dyDescent="0.3">
      <c r="A7" t="s">
        <v>452</v>
      </c>
      <c r="B7">
        <f>D2-D5</f>
        <v>79071689759.860001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7AEE3-6692-4729-A898-D9900634D2A7}">
  <dimension ref="A1:K174"/>
  <sheetViews>
    <sheetView zoomScale="79" workbookViewId="0">
      <selection activeCell="J3" sqref="J3"/>
    </sheetView>
  </sheetViews>
  <sheetFormatPr defaultRowHeight="14.4" x14ac:dyDescent="0.3"/>
  <cols>
    <col min="1" max="1" width="20.21875" bestFit="1" customWidth="1"/>
    <col min="2" max="2" width="19.109375" bestFit="1" customWidth="1"/>
    <col min="3" max="3" width="23.21875" bestFit="1" customWidth="1"/>
    <col min="4" max="4" width="19.109375" bestFit="1" customWidth="1"/>
    <col min="10" max="10" width="12.5546875" bestFit="1" customWidth="1"/>
    <col min="11" max="11" width="19.109375" bestFit="1" customWidth="1"/>
  </cols>
  <sheetData>
    <row r="1" spans="1:11" x14ac:dyDescent="0.3">
      <c r="A1" s="4" t="s">
        <v>461</v>
      </c>
      <c r="B1" t="s">
        <v>463</v>
      </c>
    </row>
    <row r="3" spans="1:11" x14ac:dyDescent="0.3">
      <c r="A3" s="4" t="s">
        <v>433</v>
      </c>
      <c r="B3" t="s">
        <v>458</v>
      </c>
      <c r="C3" t="s">
        <v>460</v>
      </c>
      <c r="D3" t="s">
        <v>462</v>
      </c>
      <c r="J3" s="4" t="s">
        <v>433</v>
      </c>
      <c r="K3" t="s">
        <v>462</v>
      </c>
    </row>
    <row r="4" spans="1:11" x14ac:dyDescent="0.3">
      <c r="A4" s="5" t="s">
        <v>285</v>
      </c>
      <c r="B4">
        <v>1.42</v>
      </c>
      <c r="C4">
        <v>1.3783106843348676</v>
      </c>
      <c r="D4">
        <v>4.1689315665132343E-2</v>
      </c>
      <c r="J4" s="5" t="s">
        <v>266</v>
      </c>
      <c r="K4">
        <v>1.9373575599623133E-5</v>
      </c>
    </row>
    <row r="5" spans="1:11" x14ac:dyDescent="0.3">
      <c r="A5" s="5" t="s">
        <v>115</v>
      </c>
      <c r="B5">
        <v>0.71816000000000002</v>
      </c>
      <c r="C5">
        <v>0.68872858979549323</v>
      </c>
      <c r="D5">
        <v>2.9431410204506792E-2</v>
      </c>
      <c r="J5" s="5" t="s">
        <v>300</v>
      </c>
      <c r="K5">
        <v>-3.1658945057175605E-4</v>
      </c>
    </row>
    <row r="6" spans="1:11" x14ac:dyDescent="0.3">
      <c r="A6" s="5" t="s">
        <v>147</v>
      </c>
      <c r="B6">
        <v>8</v>
      </c>
      <c r="C6">
        <v>7.9832505114645098</v>
      </c>
      <c r="D6">
        <v>1.6749488535490187E-2</v>
      </c>
      <c r="J6" s="5" t="s">
        <v>268</v>
      </c>
      <c r="K6">
        <v>-1.2880846025734721E-3</v>
      </c>
    </row>
    <row r="7" spans="1:11" x14ac:dyDescent="0.3">
      <c r="A7" s="5" t="s">
        <v>235</v>
      </c>
      <c r="B7">
        <v>1.38</v>
      </c>
      <c r="C7">
        <v>1.368270673488224</v>
      </c>
      <c r="D7">
        <v>1.1729326511775939E-2</v>
      </c>
      <c r="J7" s="5" t="s">
        <v>302</v>
      </c>
      <c r="K7">
        <v>-8.8471309034748868E-6</v>
      </c>
    </row>
    <row r="8" spans="1:11" x14ac:dyDescent="0.3">
      <c r="A8" s="5" t="s">
        <v>105</v>
      </c>
      <c r="B8">
        <v>1.1299999999999999</v>
      </c>
      <c r="C8">
        <v>1.1251847570502069</v>
      </c>
      <c r="D8">
        <v>4.8152429497929639E-3</v>
      </c>
      <c r="J8" s="5" t="s">
        <v>220</v>
      </c>
      <c r="K8">
        <v>9.5915548821002769E-5</v>
      </c>
    </row>
    <row r="9" spans="1:11" x14ac:dyDescent="0.3">
      <c r="A9" s="5" t="s">
        <v>395</v>
      </c>
      <c r="B9">
        <v>0.74696399999999996</v>
      </c>
      <c r="C9">
        <v>0.74268373932626286</v>
      </c>
      <c r="D9">
        <v>4.2802606737371018E-3</v>
      </c>
      <c r="J9" s="5" t="s">
        <v>50</v>
      </c>
      <c r="K9">
        <v>-7.320929887423E-4</v>
      </c>
    </row>
    <row r="10" spans="1:11" x14ac:dyDescent="0.3">
      <c r="A10" s="5" t="s">
        <v>331</v>
      </c>
      <c r="B10">
        <v>1.0009999999999999</v>
      </c>
      <c r="C10">
        <v>0.99889885447597271</v>
      </c>
      <c r="D10">
        <v>2.1011455240271815E-3</v>
      </c>
      <c r="J10" s="5" t="s">
        <v>260</v>
      </c>
      <c r="K10">
        <v>1.8201461268771979E-3</v>
      </c>
    </row>
    <row r="11" spans="1:11" x14ac:dyDescent="0.3">
      <c r="A11" s="5" t="s">
        <v>249</v>
      </c>
      <c r="B11">
        <v>0.43762800000000002</v>
      </c>
      <c r="C11">
        <v>0.43580692750200029</v>
      </c>
      <c r="D11">
        <v>1.8210724979997317E-3</v>
      </c>
      <c r="J11" s="5" t="s">
        <v>264</v>
      </c>
      <c r="K11">
        <v>-6.6983880765308923E-4</v>
      </c>
    </row>
    <row r="12" spans="1:11" x14ac:dyDescent="0.3">
      <c r="A12" s="5" t="s">
        <v>261</v>
      </c>
      <c r="B12">
        <v>3.88</v>
      </c>
      <c r="C12">
        <v>3.8781798538731227</v>
      </c>
      <c r="D12">
        <v>1.8201461268771979E-3</v>
      </c>
      <c r="J12" s="5" t="s">
        <v>368</v>
      </c>
      <c r="K12">
        <v>-8.0179527793636796E-3</v>
      </c>
    </row>
    <row r="13" spans="1:11" x14ac:dyDescent="0.3">
      <c r="A13" s="5" t="s">
        <v>365</v>
      </c>
      <c r="B13">
        <v>0.20146600000000001</v>
      </c>
      <c r="C13">
        <v>0.19967447665173865</v>
      </c>
      <c r="D13">
        <v>1.7915233482613535E-3</v>
      </c>
      <c r="J13" s="5" t="s">
        <v>154</v>
      </c>
      <c r="K13">
        <v>3.9885169192482861E-5</v>
      </c>
    </row>
    <row r="14" spans="1:11" x14ac:dyDescent="0.3">
      <c r="A14" s="5" t="s">
        <v>434</v>
      </c>
      <c r="B14">
        <v>18.915217999999999</v>
      </c>
      <c r="C14">
        <v>18.798989067962399</v>
      </c>
      <c r="D14">
        <v>0.11622893203760079</v>
      </c>
      <c r="J14" s="5" t="s">
        <v>360</v>
      </c>
      <c r="K14">
        <v>-2.9848253481300355E-9</v>
      </c>
    </row>
    <row r="15" spans="1:11" x14ac:dyDescent="0.3">
      <c r="J15" s="5" t="s">
        <v>180</v>
      </c>
      <c r="K15">
        <v>-9.0415553614188182E-3</v>
      </c>
    </row>
    <row r="16" spans="1:11" x14ac:dyDescent="0.3">
      <c r="J16" s="5" t="s">
        <v>230</v>
      </c>
      <c r="K16">
        <v>3.1256415209846011E-5</v>
      </c>
    </row>
    <row r="17" spans="10:11" x14ac:dyDescent="0.3">
      <c r="J17" s="5" t="s">
        <v>416</v>
      </c>
      <c r="K17">
        <v>-1.2529494491679838E-3</v>
      </c>
    </row>
    <row r="18" spans="10:11" x14ac:dyDescent="0.3">
      <c r="J18" s="5" t="s">
        <v>194</v>
      </c>
      <c r="K18">
        <v>-1.2470807055225269E-3</v>
      </c>
    </row>
    <row r="19" spans="10:11" x14ac:dyDescent="0.3">
      <c r="J19" s="5" t="s">
        <v>114</v>
      </c>
      <c r="K19">
        <v>2.9431410204506792E-2</v>
      </c>
    </row>
    <row r="20" spans="10:11" x14ac:dyDescent="0.3">
      <c r="J20" s="5" t="s">
        <v>150</v>
      </c>
      <c r="K20">
        <v>-7.5094391274079797E-3</v>
      </c>
    </row>
    <row r="21" spans="10:11" x14ac:dyDescent="0.3">
      <c r="J21" s="5" t="s">
        <v>74</v>
      </c>
      <c r="K21">
        <v>-4.980711087155143E-2</v>
      </c>
    </row>
    <row r="22" spans="10:11" x14ac:dyDescent="0.3">
      <c r="J22" s="5" t="s">
        <v>380</v>
      </c>
      <c r="K22">
        <v>-5.1547126217303951E-3</v>
      </c>
    </row>
    <row r="23" spans="10:11" x14ac:dyDescent="0.3">
      <c r="J23" s="5" t="s">
        <v>320</v>
      </c>
      <c r="K23">
        <v>-7.7781270299195904E-3</v>
      </c>
    </row>
    <row r="24" spans="10:11" x14ac:dyDescent="0.3">
      <c r="J24" s="5" t="s">
        <v>202</v>
      </c>
      <c r="K24">
        <v>-1.4428892050126485E-4</v>
      </c>
    </row>
    <row r="25" spans="10:11" x14ac:dyDescent="0.3">
      <c r="J25" s="5" t="s">
        <v>140</v>
      </c>
      <c r="K25">
        <v>-9.9938733923665701E-5</v>
      </c>
    </row>
    <row r="26" spans="10:11" x14ac:dyDescent="0.3">
      <c r="J26" s="5" t="s">
        <v>136</v>
      </c>
      <c r="K26">
        <v>-3.2092512048671473E-3</v>
      </c>
    </row>
    <row r="27" spans="10:11" x14ac:dyDescent="0.3">
      <c r="J27" s="5" t="s">
        <v>404</v>
      </c>
      <c r="K27">
        <v>1.6443517213213937E-3</v>
      </c>
    </row>
    <row r="28" spans="10:11" x14ac:dyDescent="0.3">
      <c r="J28" s="5" t="s">
        <v>214</v>
      </c>
      <c r="K28">
        <v>-3.3141425321149549E-8</v>
      </c>
    </row>
    <row r="29" spans="10:11" x14ac:dyDescent="0.3">
      <c r="J29" s="5" t="s">
        <v>384</v>
      </c>
      <c r="K29">
        <v>-7.4606643131921446E-3</v>
      </c>
    </row>
    <row r="30" spans="10:11" x14ac:dyDescent="0.3">
      <c r="J30" s="5" t="s">
        <v>410</v>
      </c>
      <c r="K30">
        <v>-5.6119708327890816E-3</v>
      </c>
    </row>
    <row r="31" spans="10:11" x14ac:dyDescent="0.3">
      <c r="J31" s="5" t="s">
        <v>304</v>
      </c>
      <c r="K31">
        <v>-4.6175105487729709E-10</v>
      </c>
    </row>
    <row r="32" spans="10:11" x14ac:dyDescent="0.3">
      <c r="J32" s="5" t="s">
        <v>96</v>
      </c>
      <c r="K32">
        <v>0</v>
      </c>
    </row>
    <row r="33" spans="10:11" x14ac:dyDescent="0.3">
      <c r="J33" s="5" t="s">
        <v>238</v>
      </c>
      <c r="K33">
        <v>6.0073970230889451E-4</v>
      </c>
    </row>
    <row r="34" spans="10:11" x14ac:dyDescent="0.3">
      <c r="J34" s="5" t="s">
        <v>58</v>
      </c>
      <c r="K34">
        <v>1.3987226163202082E-3</v>
      </c>
    </row>
    <row r="35" spans="10:11" x14ac:dyDescent="0.3">
      <c r="J35" s="5" t="s">
        <v>324</v>
      </c>
      <c r="K35">
        <v>-3.5829800294216729E-4</v>
      </c>
    </row>
    <row r="36" spans="10:11" x14ac:dyDescent="0.3">
      <c r="J36" s="5" t="s">
        <v>244</v>
      </c>
      <c r="K36">
        <v>-4.9689596988121421E-4</v>
      </c>
    </row>
    <row r="37" spans="10:11" x14ac:dyDescent="0.3">
      <c r="J37" s="5" t="s">
        <v>86</v>
      </c>
      <c r="K37">
        <v>-3.0606199378334364E-4</v>
      </c>
    </row>
    <row r="38" spans="10:11" x14ac:dyDescent="0.3">
      <c r="J38" s="5" t="s">
        <v>282</v>
      </c>
      <c r="K38">
        <v>-1.9274158971017141E-3</v>
      </c>
    </row>
    <row r="39" spans="10:11" x14ac:dyDescent="0.3">
      <c r="J39" s="5" t="s">
        <v>370</v>
      </c>
      <c r="K39">
        <v>-2.8516390838084771E-4</v>
      </c>
    </row>
    <row r="40" spans="10:11" x14ac:dyDescent="0.3">
      <c r="J40" s="5" t="s">
        <v>70</v>
      </c>
      <c r="K40">
        <v>8.3609838503750922E-6</v>
      </c>
    </row>
    <row r="41" spans="10:11" x14ac:dyDescent="0.3">
      <c r="J41" s="5" t="s">
        <v>38</v>
      </c>
      <c r="K41">
        <v>-4.9538266071820491E-4</v>
      </c>
    </row>
    <row r="42" spans="10:11" x14ac:dyDescent="0.3">
      <c r="J42" s="5" t="s">
        <v>106</v>
      </c>
      <c r="K42">
        <v>-7.0002646349514031E-3</v>
      </c>
    </row>
    <row r="43" spans="10:11" x14ac:dyDescent="0.3">
      <c r="J43" s="5" t="s">
        <v>234</v>
      </c>
      <c r="K43">
        <v>1.1729326511775939E-2</v>
      </c>
    </row>
    <row r="44" spans="10:11" x14ac:dyDescent="0.3">
      <c r="J44" s="5" t="s">
        <v>166</v>
      </c>
      <c r="K44">
        <v>-9.885519910751428E-4</v>
      </c>
    </row>
    <row r="45" spans="10:11" x14ac:dyDescent="0.3">
      <c r="J45" s="5" t="s">
        <v>352</v>
      </c>
      <c r="K45">
        <v>-2.5590892315336511E-2</v>
      </c>
    </row>
    <row r="46" spans="10:11" x14ac:dyDescent="0.3">
      <c r="J46" s="5" t="s">
        <v>134</v>
      </c>
      <c r="K46">
        <v>-5.0949048716653067E-2</v>
      </c>
    </row>
    <row r="47" spans="10:11" x14ac:dyDescent="0.3">
      <c r="J47" s="5" t="s">
        <v>292</v>
      </c>
      <c r="K47">
        <v>-2.2195877095852468E-3</v>
      </c>
    </row>
    <row r="48" spans="10:11" x14ac:dyDescent="0.3">
      <c r="J48" s="5" t="s">
        <v>250</v>
      </c>
      <c r="K48">
        <v>2.7444558277078812E-4</v>
      </c>
    </row>
    <row r="49" spans="10:11" x14ac:dyDescent="0.3">
      <c r="J49" s="5" t="s">
        <v>256</v>
      </c>
      <c r="K49">
        <v>6.9627396260352192E-4</v>
      </c>
    </row>
    <row r="50" spans="10:11" x14ac:dyDescent="0.3">
      <c r="J50" s="5" t="s">
        <v>152</v>
      </c>
      <c r="K50">
        <v>7.260292601507512E-4</v>
      </c>
    </row>
    <row r="51" spans="10:11" x14ac:dyDescent="0.3">
      <c r="J51" s="5" t="s">
        <v>406</v>
      </c>
      <c r="K51">
        <v>-1.9909906219441054E-3</v>
      </c>
    </row>
    <row r="52" spans="10:11" x14ac:dyDescent="0.3">
      <c r="J52" s="5" t="s">
        <v>272</v>
      </c>
      <c r="K52">
        <v>3.1834792592388972E-4</v>
      </c>
    </row>
    <row r="53" spans="10:11" x14ac:dyDescent="0.3">
      <c r="J53" s="5" t="s">
        <v>246</v>
      </c>
      <c r="K53">
        <v>-2.5076807323343164E-3</v>
      </c>
    </row>
    <row r="54" spans="10:11" x14ac:dyDescent="0.3">
      <c r="J54" s="5" t="s">
        <v>378</v>
      </c>
      <c r="K54">
        <v>-7.3713116235205045E-5</v>
      </c>
    </row>
    <row r="55" spans="10:11" x14ac:dyDescent="0.3">
      <c r="J55" s="5" t="s">
        <v>36</v>
      </c>
      <c r="K55">
        <v>0</v>
      </c>
    </row>
    <row r="56" spans="10:11" x14ac:dyDescent="0.3">
      <c r="J56" s="5" t="s">
        <v>184</v>
      </c>
      <c r="K56">
        <v>-7.5963358205241027E-3</v>
      </c>
    </row>
    <row r="57" spans="10:11" x14ac:dyDescent="0.3">
      <c r="J57" s="5" t="s">
        <v>326</v>
      </c>
      <c r="K57">
        <v>-2.6912908847311295E-7</v>
      </c>
    </row>
    <row r="58" spans="10:11" x14ac:dyDescent="0.3">
      <c r="J58" s="5" t="s">
        <v>188</v>
      </c>
      <c r="K58">
        <v>-2.3899933881996877E-5</v>
      </c>
    </row>
    <row r="59" spans="10:11" x14ac:dyDescent="0.3">
      <c r="J59" s="5" t="s">
        <v>346</v>
      </c>
      <c r="K59">
        <v>-3.0484631980953747E-4</v>
      </c>
    </row>
    <row r="60" spans="10:11" x14ac:dyDescent="0.3">
      <c r="J60" s="5" t="s">
        <v>206</v>
      </c>
      <c r="K60">
        <v>1.0216253887629367E-4</v>
      </c>
    </row>
    <row r="61" spans="10:11" x14ac:dyDescent="0.3">
      <c r="J61" s="5" t="s">
        <v>386</v>
      </c>
      <c r="K61">
        <v>-1.7612233251537712E-3</v>
      </c>
    </row>
    <row r="62" spans="10:11" x14ac:dyDescent="0.3">
      <c r="J62" s="5" t="s">
        <v>344</v>
      </c>
      <c r="K62">
        <v>-2.3450404770122835E-4</v>
      </c>
    </row>
    <row r="63" spans="10:11" x14ac:dyDescent="0.3">
      <c r="J63" s="5" t="s">
        <v>186</v>
      </c>
      <c r="K63">
        <v>-6.5903110612660853E-2</v>
      </c>
    </row>
    <row r="64" spans="10:11" x14ac:dyDescent="0.3">
      <c r="J64" s="5" t="s">
        <v>348</v>
      </c>
      <c r="K64">
        <v>-8.3101394794475592E-4</v>
      </c>
    </row>
    <row r="65" spans="10:11" x14ac:dyDescent="0.3">
      <c r="J65" s="5" t="s">
        <v>240</v>
      </c>
      <c r="K65">
        <v>-5.2485863287750067E-3</v>
      </c>
    </row>
    <row r="66" spans="10:11" x14ac:dyDescent="0.3">
      <c r="J66" s="5" t="s">
        <v>218</v>
      </c>
      <c r="K66">
        <v>-6.589434160670319E-4</v>
      </c>
    </row>
    <row r="67" spans="10:11" x14ac:dyDescent="0.3">
      <c r="J67" s="5" t="s">
        <v>76</v>
      </c>
      <c r="K67">
        <v>-1.6542119168734548E-4</v>
      </c>
    </row>
    <row r="68" spans="10:11" x14ac:dyDescent="0.3">
      <c r="J68" s="5" t="s">
        <v>116</v>
      </c>
      <c r="K68">
        <v>1.4908983052733448E-9</v>
      </c>
    </row>
    <row r="69" spans="10:11" x14ac:dyDescent="0.3">
      <c r="J69" s="5" t="s">
        <v>132</v>
      </c>
      <c r="K69">
        <v>-1.7398882318615971E-2</v>
      </c>
    </row>
    <row r="70" spans="10:11" x14ac:dyDescent="0.3">
      <c r="J70" s="5" t="s">
        <v>226</v>
      </c>
      <c r="K70">
        <v>-4.6814985550993171E-2</v>
      </c>
    </row>
    <row r="71" spans="10:11" x14ac:dyDescent="0.3">
      <c r="J71" s="5" t="s">
        <v>354</v>
      </c>
      <c r="K71">
        <v>-2.4444441924127702E-4</v>
      </c>
    </row>
    <row r="72" spans="10:11" x14ac:dyDescent="0.3">
      <c r="J72" s="5" t="s">
        <v>252</v>
      </c>
      <c r="K72">
        <v>0</v>
      </c>
    </row>
    <row r="73" spans="10:11" x14ac:dyDescent="0.3">
      <c r="J73" s="5" t="s">
        <v>332</v>
      </c>
      <c r="K73">
        <v>2.9432806566626231E-5</v>
      </c>
    </row>
    <row r="74" spans="10:11" x14ac:dyDescent="0.3">
      <c r="J74" s="5" t="s">
        <v>178</v>
      </c>
      <c r="K74">
        <v>2.5546805958259755E-4</v>
      </c>
    </row>
    <row r="75" spans="10:11" x14ac:dyDescent="0.3">
      <c r="J75" s="5" t="s">
        <v>362</v>
      </c>
      <c r="K75">
        <v>-1.3787801528504395E-2</v>
      </c>
    </row>
    <row r="76" spans="10:11" x14ac:dyDescent="0.3">
      <c r="J76" s="5" t="s">
        <v>160</v>
      </c>
      <c r="K76">
        <v>0</v>
      </c>
    </row>
    <row r="77" spans="10:11" x14ac:dyDescent="0.3">
      <c r="J77" s="5" t="s">
        <v>192</v>
      </c>
      <c r="K77">
        <v>-2.9659162044814724E-3</v>
      </c>
    </row>
    <row r="78" spans="10:11" x14ac:dyDescent="0.3">
      <c r="J78" s="5" t="s">
        <v>310</v>
      </c>
      <c r="K78">
        <v>5.88895783617642E-4</v>
      </c>
    </row>
    <row r="79" spans="10:11" x14ac:dyDescent="0.3">
      <c r="J79" s="5" t="s">
        <v>170</v>
      </c>
      <c r="K79">
        <v>-4.4428903626242411E-6</v>
      </c>
    </row>
    <row r="80" spans="10:11" x14ac:dyDescent="0.3">
      <c r="J80" s="5" t="s">
        <v>146</v>
      </c>
      <c r="K80">
        <v>1.6749488535490187E-2</v>
      </c>
    </row>
    <row r="81" spans="10:11" x14ac:dyDescent="0.3">
      <c r="J81" s="5" t="s">
        <v>216</v>
      </c>
      <c r="K81">
        <v>-6.9318978433263734E-4</v>
      </c>
    </row>
    <row r="82" spans="10:11" x14ac:dyDescent="0.3">
      <c r="J82" s="5" t="s">
        <v>294</v>
      </c>
      <c r="K82">
        <v>-1.2347583303311538E-3</v>
      </c>
    </row>
    <row r="83" spans="10:11" x14ac:dyDescent="0.3">
      <c r="J83" s="5" t="s">
        <v>314</v>
      </c>
      <c r="K83">
        <v>-3.5904266620546132E-3</v>
      </c>
    </row>
    <row r="84" spans="10:11" x14ac:dyDescent="0.3">
      <c r="J84" s="5" t="s">
        <v>56</v>
      </c>
      <c r="K84">
        <v>-7.3929305332528727E-2</v>
      </c>
    </row>
    <row r="85" spans="10:11" x14ac:dyDescent="0.3">
      <c r="J85" s="5" t="s">
        <v>284</v>
      </c>
      <c r="K85">
        <v>4.1689315665132343E-2</v>
      </c>
    </row>
    <row r="86" spans="10:11" x14ac:dyDescent="0.3">
      <c r="J86" s="5" t="s">
        <v>254</v>
      </c>
      <c r="K86">
        <v>-3.6265926359076151E-7</v>
      </c>
    </row>
    <row r="87" spans="10:11" x14ac:dyDescent="0.3">
      <c r="J87" s="5" t="s">
        <v>78</v>
      </c>
      <c r="K87">
        <v>-1.5290355735129157E-2</v>
      </c>
    </row>
    <row r="88" spans="10:11" x14ac:dyDescent="0.3">
      <c r="J88" s="5" t="s">
        <v>102</v>
      </c>
      <c r="K88">
        <v>-2.3505154634639869E-3</v>
      </c>
    </row>
    <row r="89" spans="10:11" x14ac:dyDescent="0.3">
      <c r="J89" s="5" t="s">
        <v>142</v>
      </c>
      <c r="K89">
        <v>-1.3302554580056913E-3</v>
      </c>
    </row>
    <row r="90" spans="10:11" x14ac:dyDescent="0.3">
      <c r="J90" s="5" t="s">
        <v>100</v>
      </c>
      <c r="K90">
        <v>-2.0695905860748098E-3</v>
      </c>
    </row>
    <row r="91" spans="10:11" x14ac:dyDescent="0.3">
      <c r="J91" s="5" t="s">
        <v>390</v>
      </c>
      <c r="K91">
        <v>-4.7070296737743433E-3</v>
      </c>
    </row>
    <row r="92" spans="10:11" x14ac:dyDescent="0.3">
      <c r="J92" s="5" t="s">
        <v>278</v>
      </c>
      <c r="K92">
        <v>-2.9884345880143324E-7</v>
      </c>
    </row>
    <row r="93" spans="10:11" x14ac:dyDescent="0.3">
      <c r="J93" s="5" t="s">
        <v>174</v>
      </c>
      <c r="K93">
        <v>-3.3398277340535021E-4</v>
      </c>
    </row>
    <row r="94" spans="10:11" x14ac:dyDescent="0.3">
      <c r="J94" s="5" t="s">
        <v>338</v>
      </c>
      <c r="K94">
        <v>-3.3451990382165269E-9</v>
      </c>
    </row>
    <row r="95" spans="10:11" x14ac:dyDescent="0.3">
      <c r="J95" s="5" t="s">
        <v>224</v>
      </c>
      <c r="K95">
        <v>1.605886786610923E-4</v>
      </c>
    </row>
    <row r="96" spans="10:11" x14ac:dyDescent="0.3">
      <c r="J96" s="5" t="s">
        <v>110</v>
      </c>
      <c r="K96">
        <v>-3.4871302422441186E-3</v>
      </c>
    </row>
    <row r="97" spans="10:11" x14ac:dyDescent="0.3">
      <c r="J97" s="5" t="s">
        <v>418</v>
      </c>
      <c r="K97">
        <v>1.3191931339329166E-4</v>
      </c>
    </row>
    <row r="98" spans="10:11" x14ac:dyDescent="0.3">
      <c r="J98" s="5" t="s">
        <v>342</v>
      </c>
      <c r="K98">
        <v>-5.7737911243138651E-4</v>
      </c>
    </row>
    <row r="99" spans="10:11" x14ac:dyDescent="0.3">
      <c r="J99" s="5" t="s">
        <v>392</v>
      </c>
      <c r="K99">
        <v>0</v>
      </c>
    </row>
    <row r="100" spans="10:11" x14ac:dyDescent="0.3">
      <c r="J100" s="5" t="s">
        <v>306</v>
      </c>
      <c r="K100">
        <v>-1.9440261240591505E-2</v>
      </c>
    </row>
    <row r="101" spans="10:11" x14ac:dyDescent="0.3">
      <c r="J101" s="5" t="s">
        <v>204</v>
      </c>
      <c r="K101">
        <v>9.9412742705119739E-6</v>
      </c>
    </row>
    <row r="102" spans="10:11" x14ac:dyDescent="0.3">
      <c r="J102" s="5" t="s">
        <v>128</v>
      </c>
      <c r="K102">
        <v>-2.4466227760910798E-8</v>
      </c>
    </row>
    <row r="103" spans="10:11" x14ac:dyDescent="0.3">
      <c r="J103" s="5" t="s">
        <v>126</v>
      </c>
      <c r="K103">
        <v>-6.0447346049180561E-4</v>
      </c>
    </row>
    <row r="104" spans="10:11" x14ac:dyDescent="0.3">
      <c r="J104" s="5" t="s">
        <v>394</v>
      </c>
      <c r="K104">
        <v>4.2802606737371018E-3</v>
      </c>
    </row>
    <row r="105" spans="10:11" x14ac:dyDescent="0.3">
      <c r="J105" s="5" t="s">
        <v>164</v>
      </c>
      <c r="K105">
        <v>3.5512913814358948E-5</v>
      </c>
    </row>
    <row r="106" spans="10:11" x14ac:dyDescent="0.3">
      <c r="J106" s="5" t="s">
        <v>312</v>
      </c>
      <c r="K106">
        <v>3.7819660179594372E-4</v>
      </c>
    </row>
    <row r="107" spans="10:11" x14ac:dyDescent="0.3">
      <c r="J107" s="5" t="s">
        <v>196</v>
      </c>
      <c r="K107">
        <v>-1.3570951338851304E-5</v>
      </c>
    </row>
    <row r="108" spans="10:11" x14ac:dyDescent="0.3">
      <c r="J108" s="5" t="s">
        <v>298</v>
      </c>
      <c r="K108">
        <v>-8.9304708852364079E-5</v>
      </c>
    </row>
    <row r="109" spans="10:11" x14ac:dyDescent="0.3">
      <c r="J109" s="5" t="s">
        <v>80</v>
      </c>
      <c r="K109">
        <v>-7.7099434132255062E-5</v>
      </c>
    </row>
    <row r="110" spans="10:11" x14ac:dyDescent="0.3">
      <c r="J110" s="5" t="s">
        <v>82</v>
      </c>
      <c r="K110">
        <v>-3.160184758680025E-5</v>
      </c>
    </row>
    <row r="111" spans="10:11" x14ac:dyDescent="0.3">
      <c r="J111" s="5" t="s">
        <v>382</v>
      </c>
      <c r="K111">
        <v>-7.0306419727538261E-3</v>
      </c>
    </row>
    <row r="112" spans="10:11" x14ac:dyDescent="0.3">
      <c r="J112" s="5" t="s">
        <v>366</v>
      </c>
      <c r="K112">
        <v>-2.1803474620309127E-4</v>
      </c>
    </row>
    <row r="113" spans="10:11" x14ac:dyDescent="0.3">
      <c r="J113" s="5" t="s">
        <v>158</v>
      </c>
      <c r="K113">
        <v>-3.0121356791519949E-2</v>
      </c>
    </row>
    <row r="114" spans="10:11" x14ac:dyDescent="0.3">
      <c r="J114" s="5" t="s">
        <v>414</v>
      </c>
      <c r="K114">
        <v>4.3000533327397505E-6</v>
      </c>
    </row>
    <row r="115" spans="10:11" x14ac:dyDescent="0.3">
      <c r="J115" s="5" t="s">
        <v>120</v>
      </c>
      <c r="K115">
        <v>-5.4473589473635897E-5</v>
      </c>
    </row>
    <row r="116" spans="10:11" x14ac:dyDescent="0.3">
      <c r="J116" s="5" t="s">
        <v>356</v>
      </c>
      <c r="K116">
        <v>-2.4805364720459355E-4</v>
      </c>
    </row>
    <row r="117" spans="10:11" x14ac:dyDescent="0.3">
      <c r="J117" s="5" t="s">
        <v>402</v>
      </c>
      <c r="K117">
        <v>-2.7861779637758377E-4</v>
      </c>
    </row>
    <row r="118" spans="10:11" x14ac:dyDescent="0.3">
      <c r="J118" s="5" t="s">
        <v>258</v>
      </c>
      <c r="K118">
        <v>-3.5394969623232103E-4</v>
      </c>
    </row>
    <row r="119" spans="10:11" x14ac:dyDescent="0.3">
      <c r="J119" s="5" t="s">
        <v>84</v>
      </c>
      <c r="K119">
        <v>-2.045300394236983E-8</v>
      </c>
    </row>
    <row r="120" spans="10:11" x14ac:dyDescent="0.3">
      <c r="J120" s="5" t="s">
        <v>274</v>
      </c>
      <c r="K120">
        <v>-4.3130984919281801E-3</v>
      </c>
    </row>
    <row r="121" spans="10:11" x14ac:dyDescent="0.3">
      <c r="J121" s="5" t="s">
        <v>124</v>
      </c>
      <c r="K121">
        <v>8.0794740074385807E-6</v>
      </c>
    </row>
    <row r="122" spans="10:11" x14ac:dyDescent="0.3">
      <c r="J122" s="5" t="s">
        <v>290</v>
      </c>
      <c r="K122">
        <v>-2.0255286570632913E-3</v>
      </c>
    </row>
    <row r="123" spans="10:11" x14ac:dyDescent="0.3">
      <c r="J123" s="5" t="s">
        <v>280</v>
      </c>
      <c r="K123">
        <v>-9.1587563425239438E-3</v>
      </c>
    </row>
    <row r="124" spans="10:11" x14ac:dyDescent="0.3">
      <c r="J124" s="5" t="s">
        <v>176</v>
      </c>
      <c r="K124">
        <v>4.9452245868636391E-5</v>
      </c>
    </row>
    <row r="125" spans="10:11" x14ac:dyDescent="0.3">
      <c r="J125" s="5" t="s">
        <v>340</v>
      </c>
      <c r="K125">
        <v>8.8802541900107057E-5</v>
      </c>
    </row>
    <row r="126" spans="10:11" x14ac:dyDescent="0.3">
      <c r="J126" s="5" t="s">
        <v>242</v>
      </c>
      <c r="K126">
        <v>-9.5250765117324554E-4</v>
      </c>
    </row>
    <row r="127" spans="10:11" x14ac:dyDescent="0.3">
      <c r="J127" s="5" t="s">
        <v>66</v>
      </c>
      <c r="K127">
        <v>-1.7097012002557532E-2</v>
      </c>
    </row>
    <row r="128" spans="10:11" x14ac:dyDescent="0.3">
      <c r="J128" s="5" t="s">
        <v>364</v>
      </c>
      <c r="K128">
        <v>1.7915233482613535E-3</v>
      </c>
    </row>
    <row r="129" spans="10:11" x14ac:dyDescent="0.3">
      <c r="J129" s="5" t="s">
        <v>322</v>
      </c>
      <c r="K129">
        <v>-4.9244904007206703E-5</v>
      </c>
    </row>
    <row r="130" spans="10:11" x14ac:dyDescent="0.3">
      <c r="J130" s="5" t="s">
        <v>388</v>
      </c>
      <c r="K130">
        <v>-1.7931029528741871E-3</v>
      </c>
    </row>
    <row r="131" spans="10:11" x14ac:dyDescent="0.3">
      <c r="J131" s="5" t="s">
        <v>276</v>
      </c>
      <c r="K131">
        <v>-4.3706336425345382E-3</v>
      </c>
    </row>
    <row r="132" spans="10:11" x14ac:dyDescent="0.3">
      <c r="J132" s="5" t="s">
        <v>60</v>
      </c>
      <c r="K132">
        <v>-1.7347495125149326E-2</v>
      </c>
    </row>
    <row r="133" spans="10:11" x14ac:dyDescent="0.3">
      <c r="J133" s="5" t="s">
        <v>398</v>
      </c>
      <c r="K133">
        <v>-1.6738502726380777E-2</v>
      </c>
    </row>
    <row r="134" spans="10:11" x14ac:dyDescent="0.3">
      <c r="J134" s="5" t="s">
        <v>232</v>
      </c>
      <c r="K134">
        <v>-1.6495868307499162E-2</v>
      </c>
    </row>
    <row r="135" spans="10:11" x14ac:dyDescent="0.3">
      <c r="J135" s="5" t="s">
        <v>34</v>
      </c>
      <c r="K135">
        <v>1.4224511871750445E-3</v>
      </c>
    </row>
    <row r="136" spans="10:11" x14ac:dyDescent="0.3">
      <c r="J136" s="5" t="s">
        <v>228</v>
      </c>
      <c r="K136">
        <v>-8.593765313070767E-4</v>
      </c>
    </row>
    <row r="137" spans="10:11" x14ac:dyDescent="0.3">
      <c r="J137" s="5" t="s">
        <v>400</v>
      </c>
      <c r="K137">
        <v>-4.9248704728684922E-3</v>
      </c>
    </row>
    <row r="138" spans="10:11" x14ac:dyDescent="0.3">
      <c r="J138" s="5" t="s">
        <v>156</v>
      </c>
      <c r="K138">
        <v>3.6519623481057195E-5</v>
      </c>
    </row>
    <row r="139" spans="10:11" x14ac:dyDescent="0.3">
      <c r="J139" s="5" t="s">
        <v>350</v>
      </c>
      <c r="K139">
        <v>-2.3307281517001843E-3</v>
      </c>
    </row>
    <row r="140" spans="10:11" x14ac:dyDescent="0.3">
      <c r="J140" s="5" t="s">
        <v>408</v>
      </c>
      <c r="K140">
        <v>-1.0665225871984152E-3</v>
      </c>
    </row>
    <row r="141" spans="10:11" x14ac:dyDescent="0.3">
      <c r="J141" s="5" t="s">
        <v>98</v>
      </c>
      <c r="K141">
        <v>-3.6214998236602014E-2</v>
      </c>
    </row>
    <row r="142" spans="10:11" x14ac:dyDescent="0.3">
      <c r="J142" s="5" t="s">
        <v>212</v>
      </c>
      <c r="K142">
        <v>4.4422828340273668E-6</v>
      </c>
    </row>
    <row r="143" spans="10:11" x14ac:dyDescent="0.3">
      <c r="J143" s="5" t="s">
        <v>64</v>
      </c>
      <c r="K143">
        <v>1.1010115031018231E-5</v>
      </c>
    </row>
    <row r="144" spans="10:11" x14ac:dyDescent="0.3">
      <c r="J144" s="5" t="s">
        <v>376</v>
      </c>
      <c r="K144">
        <v>0</v>
      </c>
    </row>
    <row r="145" spans="10:11" x14ac:dyDescent="0.3">
      <c r="J145" s="5" t="s">
        <v>330</v>
      </c>
      <c r="K145">
        <v>2.1011455240271815E-3</v>
      </c>
    </row>
    <row r="146" spans="10:11" x14ac:dyDescent="0.3">
      <c r="J146" s="5" t="s">
        <v>30</v>
      </c>
      <c r="K146">
        <v>-5.6419032549159809E-6</v>
      </c>
    </row>
    <row r="147" spans="10:11" x14ac:dyDescent="0.3">
      <c r="J147" s="5" t="s">
        <v>130</v>
      </c>
      <c r="K147">
        <v>-2.0773246969718606E-4</v>
      </c>
    </row>
    <row r="148" spans="10:11" x14ac:dyDescent="0.3">
      <c r="J148" s="5" t="s">
        <v>68</v>
      </c>
      <c r="K148">
        <v>-2.363727900200896E-5</v>
      </c>
    </row>
    <row r="149" spans="10:11" x14ac:dyDescent="0.3">
      <c r="J149" s="5" t="s">
        <v>118</v>
      </c>
      <c r="K149">
        <v>5.8470811715671811E-4</v>
      </c>
    </row>
    <row r="150" spans="10:11" x14ac:dyDescent="0.3">
      <c r="J150" s="5" t="s">
        <v>94</v>
      </c>
      <c r="K150">
        <v>4.8587534580146752E-6</v>
      </c>
    </row>
    <row r="151" spans="10:11" x14ac:dyDescent="0.3">
      <c r="J151" s="5" t="s">
        <v>296</v>
      </c>
      <c r="K151">
        <v>1.4217871559141226E-4</v>
      </c>
    </row>
    <row r="152" spans="10:11" x14ac:dyDescent="0.3">
      <c r="J152" s="5" t="s">
        <v>358</v>
      </c>
      <c r="K152">
        <v>-1.263390645031337E-3</v>
      </c>
    </row>
    <row r="153" spans="10:11" x14ac:dyDescent="0.3">
      <c r="J153" s="5" t="s">
        <v>46</v>
      </c>
      <c r="K153">
        <v>2.6760096785816145E-5</v>
      </c>
    </row>
    <row r="154" spans="10:11" x14ac:dyDescent="0.3">
      <c r="J154" s="5" t="s">
        <v>24</v>
      </c>
      <c r="K154">
        <v>-1.9501385448705832E-6</v>
      </c>
    </row>
    <row r="155" spans="10:11" x14ac:dyDescent="0.3">
      <c r="J155" s="5" t="s">
        <v>144</v>
      </c>
      <c r="K155">
        <v>7.3092500548765926E-6</v>
      </c>
    </row>
    <row r="156" spans="10:11" x14ac:dyDescent="0.3">
      <c r="J156" s="5" t="s">
        <v>104</v>
      </c>
      <c r="K156">
        <v>4.8152429497929639E-3</v>
      </c>
    </row>
    <row r="157" spans="10:11" x14ac:dyDescent="0.3">
      <c r="J157" s="5" t="s">
        <v>262</v>
      </c>
      <c r="K157">
        <v>-2.2821099734338102E-4</v>
      </c>
    </row>
    <row r="158" spans="10:11" x14ac:dyDescent="0.3">
      <c r="J158" s="5" t="s">
        <v>88</v>
      </c>
      <c r="K158">
        <v>0</v>
      </c>
    </row>
    <row r="159" spans="10:11" x14ac:dyDescent="0.3">
      <c r="J159" s="5" t="s">
        <v>208</v>
      </c>
      <c r="K159">
        <v>-2.9002510368960829E-5</v>
      </c>
    </row>
    <row r="160" spans="10:11" x14ac:dyDescent="0.3">
      <c r="J160" s="5" t="s">
        <v>236</v>
      </c>
      <c r="K160">
        <v>-6.7684377183033773E-3</v>
      </c>
    </row>
    <row r="161" spans="10:11" x14ac:dyDescent="0.3">
      <c r="J161" s="5" t="s">
        <v>396</v>
      </c>
      <c r="K161">
        <v>-1.0464028265471659E-3</v>
      </c>
    </row>
    <row r="162" spans="10:11" x14ac:dyDescent="0.3">
      <c r="J162" s="5" t="s">
        <v>172</v>
      </c>
      <c r="K162">
        <v>-3.6963007368125411E-3</v>
      </c>
    </row>
    <row r="163" spans="10:11" x14ac:dyDescent="0.3">
      <c r="J163" s="5" t="s">
        <v>112</v>
      </c>
      <c r="K163">
        <v>5.2474500991328554E-5</v>
      </c>
    </row>
    <row r="164" spans="10:11" x14ac:dyDescent="0.3">
      <c r="J164" s="5" t="s">
        <v>412</v>
      </c>
      <c r="K164">
        <v>-3.8387429992653432E-6</v>
      </c>
    </row>
    <row r="165" spans="10:11" x14ac:dyDescent="0.3">
      <c r="J165" s="5" t="s">
        <v>190</v>
      </c>
      <c r="K165">
        <v>-1.1614317191231682E-5</v>
      </c>
    </row>
    <row r="166" spans="10:11" x14ac:dyDescent="0.3">
      <c r="J166" s="5" t="s">
        <v>62</v>
      </c>
      <c r="K166">
        <v>-8.5288930140936525E-4</v>
      </c>
    </row>
    <row r="167" spans="10:11" x14ac:dyDescent="0.3">
      <c r="J167" s="5" t="s">
        <v>374</v>
      </c>
      <c r="K167">
        <v>-4.1696176613893743E-4</v>
      </c>
    </row>
    <row r="168" spans="10:11" x14ac:dyDescent="0.3">
      <c r="J168" s="5" t="s">
        <v>28</v>
      </c>
      <c r="K168">
        <v>-5.0114948117241376E-3</v>
      </c>
    </row>
    <row r="169" spans="10:11" x14ac:dyDescent="0.3">
      <c r="J169" s="5" t="s">
        <v>270</v>
      </c>
      <c r="K169">
        <v>-1.9412260358919742E-4</v>
      </c>
    </row>
    <row r="170" spans="10:11" x14ac:dyDescent="0.3">
      <c r="J170" s="5" t="s">
        <v>222</v>
      </c>
      <c r="K170">
        <v>5.8086271681689894E-5</v>
      </c>
    </row>
    <row r="171" spans="10:11" x14ac:dyDescent="0.3">
      <c r="J171" s="5" t="s">
        <v>328</v>
      </c>
      <c r="K171">
        <v>-2.3116221837118662E-5</v>
      </c>
    </row>
    <row r="172" spans="10:11" x14ac:dyDescent="0.3">
      <c r="J172" s="5" t="s">
        <v>286</v>
      </c>
      <c r="K172">
        <v>-3.9910758284962267E-3</v>
      </c>
    </row>
    <row r="173" spans="10:11" x14ac:dyDescent="0.3">
      <c r="J173" s="5" t="s">
        <v>248</v>
      </c>
      <c r="K173">
        <v>1.8210724979997317E-3</v>
      </c>
    </row>
    <row r="174" spans="10:11" x14ac:dyDescent="0.3">
      <c r="J174" s="5" t="s">
        <v>434</v>
      </c>
      <c r="K174">
        <v>-0.56987905598906341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D2B68-5375-49B6-B86D-E1816B2F108D}">
  <dimension ref="A1:G201"/>
  <sheetViews>
    <sheetView topLeftCell="A2" workbookViewId="0">
      <selection activeCell="I9" sqref="I9"/>
    </sheetView>
  </sheetViews>
  <sheetFormatPr defaultRowHeight="14.4" x14ac:dyDescent="0.3"/>
  <cols>
    <col min="1" max="1" width="9.21875" customWidth="1"/>
    <col min="3" max="3" width="14.33203125" customWidth="1"/>
    <col min="4" max="4" width="12.33203125" customWidth="1"/>
    <col min="5" max="5" width="12.109375" customWidth="1"/>
    <col min="6" max="6" width="18.33203125" customWidth="1"/>
    <col min="7" max="7" width="14.33203125" customWidth="1"/>
  </cols>
  <sheetData>
    <row r="1" spans="1:7" x14ac:dyDescent="0.3">
      <c r="A1" s="15" t="s">
        <v>420</v>
      </c>
      <c r="B1" s="18" t="s">
        <v>427</v>
      </c>
      <c r="C1" s="15" t="s">
        <v>428</v>
      </c>
      <c r="D1" s="15" t="s">
        <v>425</v>
      </c>
      <c r="E1" s="19" t="s">
        <v>461</v>
      </c>
      <c r="F1" s="19" t="s">
        <v>454</v>
      </c>
      <c r="G1" s="19" t="s">
        <v>455</v>
      </c>
    </row>
    <row r="2" spans="1:7" x14ac:dyDescent="0.3">
      <c r="A2" s="20" t="s">
        <v>20</v>
      </c>
      <c r="B2" s="16" t="s">
        <v>21</v>
      </c>
      <c r="C2" s="16">
        <v>77625</v>
      </c>
      <c r="D2" s="16">
        <v>-0.26998955724195595</v>
      </c>
      <c r="E2" t="str">
        <f>IF(C2&lt;10,"Up to $10","&gt;= $10")</f>
        <v>&gt;= $10</v>
      </c>
      <c r="F2">
        <f>C2/(1+(D2/100))</f>
        <v>77835.146768137929</v>
      </c>
      <c r="G2">
        <f>C2-F2</f>
        <v>-210.14676813792903</v>
      </c>
    </row>
    <row r="3" spans="1:7" x14ac:dyDescent="0.3">
      <c r="A3" s="21" t="s">
        <v>22</v>
      </c>
      <c r="B3" s="17" t="s">
        <v>23</v>
      </c>
      <c r="C3" s="17">
        <v>2127.3200000000002</v>
      </c>
      <c r="D3" s="17">
        <v>-0.35164690734941828</v>
      </c>
      <c r="E3" t="str">
        <f t="shared" ref="E3:E66" si="0">IF(C3&lt;10,"Up to $10","&gt;= $10")</f>
        <v>&gt;= $10</v>
      </c>
      <c r="F3">
        <f t="shared" ref="F3:F66" si="1">C3/(1+(D3/100))</f>
        <v>2134.8270533102245</v>
      </c>
      <c r="G3">
        <f t="shared" ref="G3:G66" si="2">C3-F3</f>
        <v>-7.5070533102243644</v>
      </c>
    </row>
    <row r="4" spans="1:7" x14ac:dyDescent="0.3">
      <c r="A4" s="20" t="s">
        <v>24</v>
      </c>
      <c r="B4" s="16" t="s">
        <v>25</v>
      </c>
      <c r="C4" s="16">
        <v>0.99902000000000002</v>
      </c>
      <c r="D4" s="16">
        <v>-1.9520477448468752E-4</v>
      </c>
      <c r="E4" t="str">
        <f t="shared" si="0"/>
        <v>Up to $10</v>
      </c>
      <c r="F4">
        <f t="shared" si="1"/>
        <v>0.99902195013854489</v>
      </c>
      <c r="G4">
        <f t="shared" si="2"/>
        <v>-1.9501385448705832E-6</v>
      </c>
    </row>
    <row r="5" spans="1:7" x14ac:dyDescent="0.3">
      <c r="A5" s="21" t="s">
        <v>26</v>
      </c>
      <c r="B5" s="17" t="s">
        <v>27</v>
      </c>
      <c r="C5" s="17">
        <v>652.91</v>
      </c>
      <c r="D5" s="17">
        <v>-0.19746184012934381</v>
      </c>
      <c r="E5" t="str">
        <f t="shared" si="0"/>
        <v>&gt;= $10</v>
      </c>
      <c r="F5">
        <f t="shared" si="1"/>
        <v>654.20179891028749</v>
      </c>
      <c r="G5">
        <f t="shared" si="2"/>
        <v>-1.2917989102875254</v>
      </c>
    </row>
    <row r="6" spans="1:7" x14ac:dyDescent="0.3">
      <c r="A6" s="20" t="s">
        <v>28</v>
      </c>
      <c r="B6" s="16" t="s">
        <v>29</v>
      </c>
      <c r="C6" s="16">
        <v>1.37</v>
      </c>
      <c r="D6" s="16">
        <v>-0.3644693030301106</v>
      </c>
      <c r="E6" t="str">
        <f t="shared" si="0"/>
        <v>Up to $10</v>
      </c>
      <c r="F6">
        <f t="shared" si="1"/>
        <v>1.3750114948117242</v>
      </c>
      <c r="G6">
        <f t="shared" si="2"/>
        <v>-5.0114948117241376E-3</v>
      </c>
    </row>
    <row r="7" spans="1:7" x14ac:dyDescent="0.3">
      <c r="A7" s="21" t="s">
        <v>30</v>
      </c>
      <c r="B7" s="17" t="s">
        <v>31</v>
      </c>
      <c r="C7" s="17">
        <v>0.99968699999999999</v>
      </c>
      <c r="D7" s="17">
        <v>-5.64363787272031E-4</v>
      </c>
      <c r="E7" t="str">
        <f t="shared" si="0"/>
        <v>Up to $10</v>
      </c>
      <c r="F7">
        <f t="shared" si="1"/>
        <v>0.99969264190325491</v>
      </c>
      <c r="G7">
        <f t="shared" si="2"/>
        <v>-5.6419032549159809E-6</v>
      </c>
    </row>
    <row r="8" spans="1:7" x14ac:dyDescent="0.3">
      <c r="A8" s="20" t="s">
        <v>32</v>
      </c>
      <c r="B8" s="16" t="s">
        <v>33</v>
      </c>
      <c r="C8" s="16">
        <v>86.45</v>
      </c>
      <c r="D8" s="16">
        <v>-0.31254002498921779</v>
      </c>
      <c r="E8" t="str">
        <f t="shared" si="0"/>
        <v>&gt;= $10</v>
      </c>
      <c r="F8">
        <f t="shared" si="1"/>
        <v>86.721037953691379</v>
      </c>
      <c r="G8">
        <f t="shared" si="2"/>
        <v>-0.27103795369137629</v>
      </c>
    </row>
    <row r="9" spans="1:7" x14ac:dyDescent="0.3">
      <c r="A9" s="21" t="s">
        <v>34</v>
      </c>
      <c r="B9" s="17" t="s">
        <v>35</v>
      </c>
      <c r="C9" s="17">
        <v>0.36092299999999999</v>
      </c>
      <c r="D9" s="17">
        <v>0.39567427417631823</v>
      </c>
      <c r="E9" t="str">
        <f t="shared" si="0"/>
        <v>Up to $10</v>
      </c>
      <c r="F9">
        <f t="shared" si="1"/>
        <v>0.35950054881282495</v>
      </c>
      <c r="G9">
        <f t="shared" si="2"/>
        <v>1.4224511871750445E-3</v>
      </c>
    </row>
    <row r="10" spans="1:7" ht="28.8" x14ac:dyDescent="0.3">
      <c r="A10" s="20" t="s">
        <v>36</v>
      </c>
      <c r="B10" s="16" t="s">
        <v>37</v>
      </c>
      <c r="C10" s="16">
        <v>1.0349999999999999</v>
      </c>
      <c r="D10" s="16"/>
      <c r="E10" t="str">
        <f t="shared" si="0"/>
        <v>Up to $10</v>
      </c>
      <c r="F10">
        <f t="shared" si="1"/>
        <v>1.0349999999999999</v>
      </c>
      <c r="G10">
        <f t="shared" si="2"/>
        <v>0</v>
      </c>
    </row>
    <row r="11" spans="1:7" x14ac:dyDescent="0.3">
      <c r="A11" s="21" t="s">
        <v>38</v>
      </c>
      <c r="B11" s="17" t="s">
        <v>39</v>
      </c>
      <c r="C11" s="17">
        <v>0.10519299999999999</v>
      </c>
      <c r="D11" s="17">
        <v>-0.46872006955437379</v>
      </c>
      <c r="E11" t="str">
        <f t="shared" si="0"/>
        <v>Up to $10</v>
      </c>
      <c r="F11">
        <f t="shared" si="1"/>
        <v>0.1056883826607182</v>
      </c>
      <c r="G11">
        <f t="shared" si="2"/>
        <v>-4.9538266071820491E-4</v>
      </c>
    </row>
    <row r="12" spans="1:7" x14ac:dyDescent="0.3">
      <c r="A12" s="20" t="s">
        <v>40</v>
      </c>
      <c r="B12" s="16" t="s">
        <v>41</v>
      </c>
      <c r="C12" s="16">
        <v>58.51</v>
      </c>
      <c r="D12" s="16">
        <v>-1.3318135406100259E-2</v>
      </c>
      <c r="E12" t="str">
        <f t="shared" si="0"/>
        <v>&gt;= $10</v>
      </c>
      <c r="F12">
        <f t="shared" si="1"/>
        <v>58.517793478972195</v>
      </c>
      <c r="G12">
        <f t="shared" si="2"/>
        <v>-7.7934789721965103E-3</v>
      </c>
    </row>
    <row r="13" spans="1:7" x14ac:dyDescent="0.3">
      <c r="A13" s="21" t="s">
        <v>42</v>
      </c>
      <c r="B13" s="17" t="s">
        <v>43</v>
      </c>
      <c r="C13" s="17">
        <v>57.18</v>
      </c>
      <c r="D13" s="17">
        <v>-0.24685902293482925</v>
      </c>
      <c r="E13" t="str">
        <f t="shared" si="0"/>
        <v>&gt;= $10</v>
      </c>
      <c r="F13">
        <f t="shared" si="1"/>
        <v>57.321503302985306</v>
      </c>
      <c r="G13">
        <f t="shared" si="2"/>
        <v>-0.14150330298530633</v>
      </c>
    </row>
    <row r="14" spans="1:7" x14ac:dyDescent="0.3">
      <c r="A14" s="20" t="s">
        <v>44</v>
      </c>
      <c r="B14" s="16" t="s">
        <v>45</v>
      </c>
      <c r="C14" s="16">
        <v>665.49</v>
      </c>
      <c r="D14" s="16">
        <v>-9.4046672616777696E-2</v>
      </c>
      <c r="E14" t="str">
        <f t="shared" si="0"/>
        <v>&gt;= $10</v>
      </c>
      <c r="F14">
        <f t="shared" si="1"/>
        <v>666.11646036672755</v>
      </c>
      <c r="G14">
        <f t="shared" si="2"/>
        <v>-0.62646036672754235</v>
      </c>
    </row>
    <row r="15" spans="1:7" x14ac:dyDescent="0.3">
      <c r="A15" s="21" t="s">
        <v>46</v>
      </c>
      <c r="B15" s="17" t="s">
        <v>47</v>
      </c>
      <c r="C15" s="17">
        <v>0.99964600000000003</v>
      </c>
      <c r="D15" s="17">
        <v>2.6770289844031442E-3</v>
      </c>
      <c r="E15" t="str">
        <f t="shared" si="0"/>
        <v>Up to $10</v>
      </c>
      <c r="F15">
        <f t="shared" si="1"/>
        <v>0.99961923990321422</v>
      </c>
      <c r="G15">
        <f t="shared" si="2"/>
        <v>2.6760096785816145E-5</v>
      </c>
    </row>
    <row r="16" spans="1:7" x14ac:dyDescent="0.3">
      <c r="A16" s="20" t="s">
        <v>48</v>
      </c>
      <c r="B16" s="16" t="s">
        <v>49</v>
      </c>
      <c r="C16" s="16">
        <v>10.06</v>
      </c>
      <c r="D16" s="16">
        <v>-0.23917070692341913</v>
      </c>
      <c r="E16" t="str">
        <f t="shared" si="0"/>
        <v>&gt;= $10</v>
      </c>
      <c r="F16">
        <f t="shared" si="1"/>
        <v>10.084118256922075</v>
      </c>
      <c r="G16">
        <f t="shared" si="2"/>
        <v>-2.4118256922074366E-2</v>
      </c>
    </row>
    <row r="17" spans="1:7" x14ac:dyDescent="0.3">
      <c r="A17" s="21" t="s">
        <v>50</v>
      </c>
      <c r="B17" s="17" t="s">
        <v>51</v>
      </c>
      <c r="C17" s="17">
        <v>0.24875900000000001</v>
      </c>
      <c r="D17" s="17">
        <v>-0.29343451903324225</v>
      </c>
      <c r="E17" t="str">
        <f t="shared" si="0"/>
        <v>Up to $10</v>
      </c>
      <c r="F17">
        <f t="shared" si="1"/>
        <v>0.24949109298874231</v>
      </c>
      <c r="G17">
        <f t="shared" si="2"/>
        <v>-7.320929887423E-4</v>
      </c>
    </row>
    <row r="18" spans="1:7" x14ac:dyDescent="0.3">
      <c r="A18" s="20" t="s">
        <v>52</v>
      </c>
      <c r="B18" s="16" t="s">
        <v>53</v>
      </c>
      <c r="C18" s="16">
        <v>376.18</v>
      </c>
      <c r="D18" s="16">
        <v>-0.17884023367537646</v>
      </c>
      <c r="E18" t="str">
        <f t="shared" si="0"/>
        <v>&gt;= $10</v>
      </c>
      <c r="F18">
        <f t="shared" si="1"/>
        <v>376.85396651432916</v>
      </c>
      <c r="G18">
        <f t="shared" si="2"/>
        <v>-0.67396651432915178</v>
      </c>
    </row>
    <row r="19" spans="1:7" x14ac:dyDescent="0.3">
      <c r="A19" s="21" t="s">
        <v>54</v>
      </c>
      <c r="B19" s="17" t="s">
        <v>55</v>
      </c>
      <c r="C19" s="17">
        <v>402.63</v>
      </c>
      <c r="D19" s="17">
        <v>-0.35748960128909968</v>
      </c>
      <c r="E19" t="str">
        <f t="shared" si="0"/>
        <v>&gt;= $10</v>
      </c>
      <c r="F19">
        <f t="shared" si="1"/>
        <v>404.07452440621057</v>
      </c>
      <c r="G19">
        <f t="shared" si="2"/>
        <v>-1.4445244062105758</v>
      </c>
    </row>
    <row r="20" spans="1:7" x14ac:dyDescent="0.3">
      <c r="A20" s="20" t="s">
        <v>56</v>
      </c>
      <c r="B20" s="16" t="s">
        <v>57</v>
      </c>
      <c r="C20" s="16">
        <v>9.6199999999999992</v>
      </c>
      <c r="D20" s="16">
        <v>-0.76263507813969977</v>
      </c>
      <c r="E20" t="str">
        <f t="shared" si="0"/>
        <v>Up to $10</v>
      </c>
      <c r="F20">
        <f t="shared" si="1"/>
        <v>9.6939293053325279</v>
      </c>
      <c r="G20">
        <f t="shared" si="2"/>
        <v>-7.3929305332528727E-2</v>
      </c>
    </row>
    <row r="21" spans="1:7" x14ac:dyDescent="0.3">
      <c r="A21" s="21" t="s">
        <v>58</v>
      </c>
      <c r="B21" s="17" t="s">
        <v>59</v>
      </c>
      <c r="C21" s="17">
        <v>0.15551100000000001</v>
      </c>
      <c r="D21" s="17">
        <v>0.90759973187467158</v>
      </c>
      <c r="E21" t="str">
        <f t="shared" si="0"/>
        <v>Up to $10</v>
      </c>
      <c r="F21">
        <f t="shared" si="1"/>
        <v>0.1541122773836798</v>
      </c>
      <c r="G21">
        <f t="shared" si="2"/>
        <v>1.3987226163202082E-3</v>
      </c>
    </row>
    <row r="22" spans="1:7" x14ac:dyDescent="0.3">
      <c r="A22" s="20" t="s">
        <v>60</v>
      </c>
      <c r="B22" s="16" t="s">
        <v>61</v>
      </c>
      <c r="C22" s="16">
        <v>2.04</v>
      </c>
      <c r="D22" s="16">
        <v>-0.84319713447796596</v>
      </c>
      <c r="E22" t="str">
        <f t="shared" si="0"/>
        <v>Up to $10</v>
      </c>
      <c r="F22">
        <f t="shared" si="1"/>
        <v>2.0573474951251494</v>
      </c>
      <c r="G22">
        <f t="shared" si="2"/>
        <v>-1.7347495125149326E-2</v>
      </c>
    </row>
    <row r="23" spans="1:7" x14ac:dyDescent="0.3">
      <c r="A23" s="21" t="s">
        <v>62</v>
      </c>
      <c r="B23" s="17" t="s">
        <v>63</v>
      </c>
      <c r="C23" s="17">
        <v>0.144819</v>
      </c>
      <c r="D23" s="17">
        <v>-0.58548653793091465</v>
      </c>
      <c r="E23" t="str">
        <f t="shared" si="0"/>
        <v>Up to $10</v>
      </c>
      <c r="F23">
        <f t="shared" si="1"/>
        <v>0.14567188930140937</v>
      </c>
      <c r="G23">
        <f t="shared" si="2"/>
        <v>-8.5288930140936525E-4</v>
      </c>
    </row>
    <row r="24" spans="1:7" x14ac:dyDescent="0.3">
      <c r="A24" s="20" t="s">
        <v>64</v>
      </c>
      <c r="B24" s="16" t="s">
        <v>65</v>
      </c>
      <c r="C24" s="16">
        <v>0.99992000000000003</v>
      </c>
      <c r="D24" s="16">
        <v>1.1011117154098476E-3</v>
      </c>
      <c r="E24" t="str">
        <f t="shared" si="0"/>
        <v>Up to $10</v>
      </c>
      <c r="F24">
        <f t="shared" si="1"/>
        <v>0.99990898988496901</v>
      </c>
      <c r="G24">
        <f t="shared" si="2"/>
        <v>1.1010115031018231E-5</v>
      </c>
    </row>
    <row r="25" spans="1:7" x14ac:dyDescent="0.3">
      <c r="A25" s="21" t="s">
        <v>68</v>
      </c>
      <c r="B25" s="17" t="s">
        <v>69</v>
      </c>
      <c r="C25" s="17">
        <v>0.99930799999999997</v>
      </c>
      <c r="D25" s="17">
        <v>-2.3653087844086539E-3</v>
      </c>
      <c r="E25" t="str">
        <f t="shared" si="0"/>
        <v>Up to $10</v>
      </c>
      <c r="F25">
        <f t="shared" si="1"/>
        <v>0.99933163727900198</v>
      </c>
      <c r="G25">
        <f t="shared" si="2"/>
        <v>-2.363727900200896E-5</v>
      </c>
    </row>
    <row r="26" spans="1:7" x14ac:dyDescent="0.3">
      <c r="A26" s="20" t="s">
        <v>66</v>
      </c>
      <c r="B26" s="16" t="s">
        <v>67</v>
      </c>
      <c r="C26" s="16">
        <v>1.1100000000000001</v>
      </c>
      <c r="D26" s="16">
        <v>-1.5169068696385468</v>
      </c>
      <c r="E26" t="str">
        <f t="shared" si="0"/>
        <v>Up to $10</v>
      </c>
      <c r="F26">
        <f t="shared" si="1"/>
        <v>1.1270970120025576</v>
      </c>
      <c r="G26">
        <f t="shared" si="2"/>
        <v>-1.7097012002557532E-2</v>
      </c>
    </row>
    <row r="27" spans="1:7" x14ac:dyDescent="0.3">
      <c r="A27" s="21" t="s">
        <v>70</v>
      </c>
      <c r="B27" s="17" t="s">
        <v>71</v>
      </c>
      <c r="C27" s="17">
        <v>0.99981900000000001</v>
      </c>
      <c r="D27" s="17">
        <v>8.3625673943511487E-4</v>
      </c>
      <c r="E27" t="str">
        <f t="shared" si="0"/>
        <v>Up to $10</v>
      </c>
      <c r="F27">
        <f t="shared" si="1"/>
        <v>0.99981063901614964</v>
      </c>
      <c r="G27">
        <f t="shared" si="2"/>
        <v>8.3609838503750922E-6</v>
      </c>
    </row>
    <row r="28" spans="1:7" x14ac:dyDescent="0.3">
      <c r="A28" s="20" t="s">
        <v>72</v>
      </c>
      <c r="B28" s="16" t="s">
        <v>73</v>
      </c>
      <c r="C28" s="16">
        <v>54.03</v>
      </c>
      <c r="D28" s="16">
        <v>-0.62285887553227504</v>
      </c>
      <c r="E28" t="str">
        <f t="shared" si="0"/>
        <v>&gt;= $10</v>
      </c>
      <c r="F28">
        <f t="shared" si="1"/>
        <v>54.368639899117838</v>
      </c>
      <c r="G28">
        <f t="shared" si="2"/>
        <v>-0.33863989911783676</v>
      </c>
    </row>
    <row r="29" spans="1:7" x14ac:dyDescent="0.3">
      <c r="A29" s="21" t="s">
        <v>74</v>
      </c>
      <c r="B29" s="17" t="s">
        <v>75</v>
      </c>
      <c r="C29" s="17">
        <v>9.4</v>
      </c>
      <c r="D29" s="17">
        <v>-0.5270701326194368</v>
      </c>
      <c r="E29" t="str">
        <f t="shared" si="0"/>
        <v>Up to $10</v>
      </c>
      <c r="F29">
        <f t="shared" si="1"/>
        <v>9.4498071108715518</v>
      </c>
      <c r="G29">
        <f t="shared" si="2"/>
        <v>-4.980711087155143E-2</v>
      </c>
    </row>
    <row r="30" spans="1:7" x14ac:dyDescent="0.3">
      <c r="A30" s="20" t="s">
        <v>76</v>
      </c>
      <c r="B30" s="16" t="s">
        <v>77</v>
      </c>
      <c r="C30" s="16">
        <v>8.8805999999999996E-2</v>
      </c>
      <c r="D30" s="16">
        <v>-0.18592621031752665</v>
      </c>
      <c r="E30" t="str">
        <f t="shared" si="0"/>
        <v>Up to $10</v>
      </c>
      <c r="F30">
        <f t="shared" si="1"/>
        <v>8.8971421191687342E-2</v>
      </c>
      <c r="G30">
        <f t="shared" si="2"/>
        <v>-1.6542119168734548E-4</v>
      </c>
    </row>
    <row r="31" spans="1:7" x14ac:dyDescent="0.3">
      <c r="A31" s="21" t="s">
        <v>78</v>
      </c>
      <c r="B31" s="17" t="s">
        <v>79</v>
      </c>
      <c r="C31" s="17">
        <v>2.84</v>
      </c>
      <c r="D31" s="17">
        <v>-0.53550966207052098</v>
      </c>
      <c r="E31" t="str">
        <f t="shared" si="0"/>
        <v>Up to $10</v>
      </c>
      <c r="F31">
        <f t="shared" si="1"/>
        <v>2.855290355735129</v>
      </c>
      <c r="G31">
        <f t="shared" si="2"/>
        <v>-1.5290355735129157E-2</v>
      </c>
    </row>
    <row r="32" spans="1:7" x14ac:dyDescent="0.3">
      <c r="A32" s="20" t="s">
        <v>80</v>
      </c>
      <c r="B32" s="16" t="s">
        <v>81</v>
      </c>
      <c r="C32" s="16">
        <v>0.99973599999999996</v>
      </c>
      <c r="D32" s="16">
        <v>-7.7113846753832978E-3</v>
      </c>
      <c r="E32" t="str">
        <f t="shared" si="0"/>
        <v>Up to $10</v>
      </c>
      <c r="F32">
        <f t="shared" si="1"/>
        <v>0.99981309943413221</v>
      </c>
      <c r="G32">
        <f t="shared" si="2"/>
        <v>-7.7099434132255062E-5</v>
      </c>
    </row>
    <row r="33" spans="1:7" x14ac:dyDescent="0.3">
      <c r="A33" s="21" t="s">
        <v>82</v>
      </c>
      <c r="B33" s="17" t="s">
        <v>83</v>
      </c>
      <c r="C33" s="17">
        <v>7.5084499999999998E-3</v>
      </c>
      <c r="D33" s="17">
        <v>-0.4191197650307209</v>
      </c>
      <c r="E33" t="str">
        <f t="shared" si="0"/>
        <v>Up to $10</v>
      </c>
      <c r="F33">
        <f t="shared" si="1"/>
        <v>7.5400518475868001E-3</v>
      </c>
      <c r="G33">
        <f t="shared" si="2"/>
        <v>-3.160184758680025E-5</v>
      </c>
    </row>
    <row r="34" spans="1:7" x14ac:dyDescent="0.3">
      <c r="A34" s="20" t="s">
        <v>84</v>
      </c>
      <c r="B34" s="16" t="s">
        <v>85</v>
      </c>
      <c r="C34" s="16">
        <v>5.8000000000000004E-6</v>
      </c>
      <c r="D34" s="16">
        <v>-0.35139883319247217</v>
      </c>
      <c r="E34" t="str">
        <f t="shared" si="0"/>
        <v>Up to $10</v>
      </c>
      <c r="F34">
        <f t="shared" si="1"/>
        <v>5.8204530039423702E-6</v>
      </c>
      <c r="G34">
        <f t="shared" si="2"/>
        <v>-2.045300394236983E-8</v>
      </c>
    </row>
    <row r="35" spans="1:7" x14ac:dyDescent="0.3">
      <c r="A35" s="21" t="s">
        <v>86</v>
      </c>
      <c r="B35" s="17" t="s">
        <v>87</v>
      </c>
      <c r="C35" s="17">
        <v>6.9209000000000007E-2</v>
      </c>
      <c r="D35" s="17">
        <v>-0.44028155194728957</v>
      </c>
      <c r="E35" t="str">
        <f t="shared" si="0"/>
        <v>Up to $10</v>
      </c>
      <c r="F35">
        <f t="shared" si="1"/>
        <v>6.951506199378335E-2</v>
      </c>
      <c r="G35">
        <f t="shared" si="2"/>
        <v>-3.0606199378334364E-4</v>
      </c>
    </row>
    <row r="36" spans="1:7" x14ac:dyDescent="0.3">
      <c r="A36" s="20" t="s">
        <v>88</v>
      </c>
      <c r="B36" s="16" t="s">
        <v>89</v>
      </c>
      <c r="C36" s="16">
        <v>1.1200000000000001</v>
      </c>
      <c r="D36" s="16"/>
      <c r="E36" t="str">
        <f t="shared" si="0"/>
        <v>Up to $10</v>
      </c>
      <c r="F36">
        <f t="shared" si="1"/>
        <v>1.1200000000000001</v>
      </c>
      <c r="G36">
        <f t="shared" si="2"/>
        <v>0</v>
      </c>
    </row>
    <row r="37" spans="1:7" x14ac:dyDescent="0.3">
      <c r="A37" s="21" t="s">
        <v>90</v>
      </c>
      <c r="B37" s="17" t="s">
        <v>91</v>
      </c>
      <c r="C37" s="17">
        <v>283.02</v>
      </c>
      <c r="D37" s="17">
        <v>-1.781568348964804</v>
      </c>
      <c r="E37" t="str">
        <f t="shared" si="0"/>
        <v>&gt;= $10</v>
      </c>
      <c r="F37">
        <f t="shared" si="1"/>
        <v>288.15365430141952</v>
      </c>
      <c r="G37">
        <f t="shared" si="2"/>
        <v>-5.1336543014195399</v>
      </c>
    </row>
    <row r="38" spans="1:7" x14ac:dyDescent="0.3">
      <c r="A38" s="20" t="s">
        <v>92</v>
      </c>
      <c r="B38" s="16" t="s">
        <v>93</v>
      </c>
      <c r="C38" s="16">
        <v>4522.5200000000004</v>
      </c>
      <c r="D38" s="16">
        <v>1.202015389017762E-2</v>
      </c>
      <c r="E38" t="str">
        <f t="shared" si="0"/>
        <v>&gt;= $10</v>
      </c>
      <c r="F38">
        <f t="shared" si="1"/>
        <v>4521.9764514716562</v>
      </c>
      <c r="G38">
        <f t="shared" si="2"/>
        <v>0.54354852834421763</v>
      </c>
    </row>
    <row r="39" spans="1:7" x14ac:dyDescent="0.3">
      <c r="A39" s="21" t="s">
        <v>94</v>
      </c>
      <c r="B39" s="17" t="s">
        <v>95</v>
      </c>
      <c r="C39" s="17">
        <v>0.99975899999999995</v>
      </c>
      <c r="D39" s="17">
        <v>4.8599483188784334E-4</v>
      </c>
      <c r="E39" t="str">
        <f t="shared" si="0"/>
        <v>Up to $10</v>
      </c>
      <c r="F39">
        <f t="shared" si="1"/>
        <v>0.99975414124654194</v>
      </c>
      <c r="G39">
        <f t="shared" si="2"/>
        <v>4.8587534580146752E-6</v>
      </c>
    </row>
    <row r="40" spans="1:7" x14ac:dyDescent="0.3">
      <c r="A40" s="20" t="s">
        <v>96</v>
      </c>
      <c r="B40" s="16" t="s">
        <v>97</v>
      </c>
      <c r="C40" s="16">
        <v>1</v>
      </c>
      <c r="D40" s="16">
        <v>0</v>
      </c>
      <c r="E40" t="str">
        <f t="shared" si="0"/>
        <v>Up to $10</v>
      </c>
      <c r="F40">
        <f t="shared" si="1"/>
        <v>1</v>
      </c>
      <c r="G40">
        <f t="shared" si="2"/>
        <v>0</v>
      </c>
    </row>
    <row r="41" spans="1:7" x14ac:dyDescent="0.3">
      <c r="A41" s="21" t="s">
        <v>98</v>
      </c>
      <c r="B41" s="17" t="s">
        <v>99</v>
      </c>
      <c r="C41" s="17">
        <v>3.62</v>
      </c>
      <c r="D41" s="17">
        <v>-0.99050516050255055</v>
      </c>
      <c r="E41" t="str">
        <f t="shared" si="0"/>
        <v>Up to $10</v>
      </c>
      <c r="F41">
        <f t="shared" si="1"/>
        <v>3.6562149982366021</v>
      </c>
      <c r="G41">
        <f t="shared" si="2"/>
        <v>-3.6214998236602014E-2</v>
      </c>
    </row>
    <row r="42" spans="1:7" x14ac:dyDescent="0.3">
      <c r="A42" s="20" t="s">
        <v>100</v>
      </c>
      <c r="B42" s="16" t="s">
        <v>101</v>
      </c>
      <c r="C42" s="16">
        <v>1.75</v>
      </c>
      <c r="D42" s="16">
        <v>-0.11812262464886564</v>
      </c>
      <c r="E42" t="str">
        <f t="shared" si="0"/>
        <v>Up to $10</v>
      </c>
      <c r="F42">
        <f t="shared" si="1"/>
        <v>1.7520695905860748</v>
      </c>
      <c r="G42">
        <f t="shared" si="2"/>
        <v>-2.0695905860748098E-3</v>
      </c>
    </row>
    <row r="43" spans="1:7" x14ac:dyDescent="0.3">
      <c r="A43" s="21" t="s">
        <v>102</v>
      </c>
      <c r="B43" s="17" t="s">
        <v>103</v>
      </c>
      <c r="C43" s="17">
        <v>0.68358699999999994</v>
      </c>
      <c r="D43" s="17">
        <v>-0.34267195050204619</v>
      </c>
      <c r="E43" t="str">
        <f t="shared" si="0"/>
        <v>Up to $10</v>
      </c>
      <c r="F43">
        <f t="shared" si="1"/>
        <v>0.68593751546346393</v>
      </c>
      <c r="G43">
        <f t="shared" si="2"/>
        <v>-2.3505154634639869E-3</v>
      </c>
    </row>
    <row r="44" spans="1:7" x14ac:dyDescent="0.3">
      <c r="A44" s="20" t="s">
        <v>104</v>
      </c>
      <c r="B44" s="16" t="s">
        <v>105</v>
      </c>
      <c r="C44" s="16">
        <v>1.1299999999999999</v>
      </c>
      <c r="D44" s="16">
        <v>0.42795131373949907</v>
      </c>
      <c r="E44" t="str">
        <f t="shared" si="0"/>
        <v>Up to $10</v>
      </c>
      <c r="F44">
        <f t="shared" si="1"/>
        <v>1.1251847570502069</v>
      </c>
      <c r="G44">
        <f t="shared" si="2"/>
        <v>4.8152429497929639E-3</v>
      </c>
    </row>
    <row r="45" spans="1:7" x14ac:dyDescent="0.3">
      <c r="A45" s="21" t="s">
        <v>106</v>
      </c>
      <c r="B45" s="17" t="s">
        <v>107</v>
      </c>
      <c r="C45" s="17">
        <v>1.27</v>
      </c>
      <c r="D45" s="17">
        <v>-0.54818035898782391</v>
      </c>
      <c r="E45" t="str">
        <f t="shared" si="0"/>
        <v>Up to $10</v>
      </c>
      <c r="F45">
        <f t="shared" si="1"/>
        <v>1.2770002646349514</v>
      </c>
      <c r="G45">
        <f t="shared" si="2"/>
        <v>-7.0002646349514031E-3</v>
      </c>
    </row>
    <row r="46" spans="1:7" x14ac:dyDescent="0.3">
      <c r="A46" s="20" t="s">
        <v>108</v>
      </c>
      <c r="B46" s="16" t="s">
        <v>109</v>
      </c>
      <c r="C46" s="16">
        <v>4524.24</v>
      </c>
      <c r="D46" s="16">
        <v>3.1792901976748576E-2</v>
      </c>
      <c r="E46" t="str">
        <f t="shared" si="0"/>
        <v>&gt;= $10</v>
      </c>
      <c r="F46">
        <f t="shared" si="1"/>
        <v>4522.8020699712915</v>
      </c>
      <c r="G46">
        <f t="shared" si="2"/>
        <v>1.4379300287082515</v>
      </c>
    </row>
    <row r="47" spans="1:7" x14ac:dyDescent="0.3">
      <c r="A47" s="21" t="s">
        <v>110</v>
      </c>
      <c r="B47" s="17" t="s">
        <v>111</v>
      </c>
      <c r="C47" s="17">
        <v>0.40456700000000001</v>
      </c>
      <c r="D47" s="17">
        <v>-0.85457540649667207</v>
      </c>
      <c r="E47" t="str">
        <f t="shared" si="0"/>
        <v>Up to $10</v>
      </c>
      <c r="F47">
        <f t="shared" si="1"/>
        <v>0.40805413024224413</v>
      </c>
      <c r="G47">
        <f t="shared" si="2"/>
        <v>-3.4871302422441186E-3</v>
      </c>
    </row>
    <row r="48" spans="1:7" x14ac:dyDescent="0.3">
      <c r="A48" s="20" t="s">
        <v>112</v>
      </c>
      <c r="B48" s="16" t="s">
        <v>113</v>
      </c>
      <c r="C48" s="16">
        <v>6.1742999999999999E-2</v>
      </c>
      <c r="D48" s="16">
        <v>8.5060875340040809E-2</v>
      </c>
      <c r="E48" t="str">
        <f t="shared" si="0"/>
        <v>Up to $10</v>
      </c>
      <c r="F48">
        <f t="shared" si="1"/>
        <v>6.1690525499008671E-2</v>
      </c>
      <c r="G48">
        <f t="shared" si="2"/>
        <v>5.2474500991328554E-5</v>
      </c>
    </row>
    <row r="49" spans="1:7" x14ac:dyDescent="0.3">
      <c r="A49" s="21" t="s">
        <v>114</v>
      </c>
      <c r="B49" s="17" t="s">
        <v>115</v>
      </c>
      <c r="C49" s="17">
        <v>0.71816000000000002</v>
      </c>
      <c r="D49" s="17">
        <v>4.2732958440488078</v>
      </c>
      <c r="E49" t="str">
        <f t="shared" si="0"/>
        <v>Up to $10</v>
      </c>
      <c r="F49">
        <f t="shared" si="1"/>
        <v>0.68872858979549323</v>
      </c>
      <c r="G49">
        <f t="shared" si="2"/>
        <v>2.9431410204506792E-2</v>
      </c>
    </row>
    <row r="50" spans="1:7" x14ac:dyDescent="0.3">
      <c r="A50" s="20" t="s">
        <v>116</v>
      </c>
      <c r="B50" s="16" t="s">
        <v>117</v>
      </c>
      <c r="C50" s="16">
        <v>2.0099999999999998E-6</v>
      </c>
      <c r="D50" s="16">
        <v>7.4229103767335616E-2</v>
      </c>
      <c r="E50" t="str">
        <f t="shared" si="0"/>
        <v>Up to $10</v>
      </c>
      <c r="F50">
        <f t="shared" si="1"/>
        <v>2.0085091016947265E-6</v>
      </c>
      <c r="G50">
        <f t="shared" si="2"/>
        <v>1.4908983052733448E-9</v>
      </c>
    </row>
    <row r="51" spans="1:7" x14ac:dyDescent="0.3">
      <c r="A51" s="21" t="s">
        <v>118</v>
      </c>
      <c r="B51" s="17" t="s">
        <v>119</v>
      </c>
      <c r="C51" s="17">
        <v>0.99793699999999996</v>
      </c>
      <c r="D51" s="17">
        <v>5.862603634798183E-2</v>
      </c>
      <c r="E51" t="str">
        <f t="shared" si="0"/>
        <v>Up to $10</v>
      </c>
      <c r="F51">
        <f t="shared" si="1"/>
        <v>0.99735229188284324</v>
      </c>
      <c r="G51">
        <f t="shared" si="2"/>
        <v>5.8470811715671811E-4</v>
      </c>
    </row>
    <row r="52" spans="1:7" x14ac:dyDescent="0.3">
      <c r="A52" s="20" t="s">
        <v>120</v>
      </c>
      <c r="B52" s="16" t="s">
        <v>121</v>
      </c>
      <c r="C52" s="16">
        <v>0.99985500000000005</v>
      </c>
      <c r="D52" s="16">
        <v>-5.4478521218610477E-3</v>
      </c>
      <c r="E52" t="str">
        <f t="shared" si="0"/>
        <v>Up to $10</v>
      </c>
      <c r="F52">
        <f t="shared" si="1"/>
        <v>0.99990947358947369</v>
      </c>
      <c r="G52">
        <f t="shared" si="2"/>
        <v>-5.4473589473635897E-5</v>
      </c>
    </row>
    <row r="53" spans="1:7" x14ac:dyDescent="0.3">
      <c r="A53" s="21" t="s">
        <v>122</v>
      </c>
      <c r="B53" s="17" t="s">
        <v>123</v>
      </c>
      <c r="C53" s="17">
        <v>80.91</v>
      </c>
      <c r="D53" s="17">
        <v>-0.23627204871313084</v>
      </c>
      <c r="E53" t="str">
        <f t="shared" si="0"/>
        <v>&gt;= $10</v>
      </c>
      <c r="F53">
        <f t="shared" si="1"/>
        <v>81.101620460200863</v>
      </c>
      <c r="G53">
        <f t="shared" si="2"/>
        <v>-0.19162046020086621</v>
      </c>
    </row>
    <row r="54" spans="1:7" x14ac:dyDescent="0.3">
      <c r="A54" s="20" t="s">
        <v>124</v>
      </c>
      <c r="B54" s="16" t="s">
        <v>125</v>
      </c>
      <c r="C54" s="16">
        <v>7.0705000000000004E-2</v>
      </c>
      <c r="D54" s="16">
        <v>1.142832523301753E-2</v>
      </c>
      <c r="E54" t="str">
        <f t="shared" si="0"/>
        <v>Up to $10</v>
      </c>
      <c r="F54">
        <f t="shared" si="1"/>
        <v>7.0696920525992565E-2</v>
      </c>
      <c r="G54">
        <f t="shared" si="2"/>
        <v>8.0794740074385807E-6</v>
      </c>
    </row>
    <row r="55" spans="1:7" x14ac:dyDescent="0.3">
      <c r="A55" s="21" t="s">
        <v>126</v>
      </c>
      <c r="B55" s="17" t="s">
        <v>127</v>
      </c>
      <c r="C55" s="17">
        <v>0.152616</v>
      </c>
      <c r="D55" s="17">
        <v>-0.3945121998644997</v>
      </c>
      <c r="E55" t="str">
        <f t="shared" si="0"/>
        <v>Up to $10</v>
      </c>
      <c r="F55">
        <f t="shared" si="1"/>
        <v>0.15322047346049181</v>
      </c>
      <c r="G55">
        <f t="shared" si="2"/>
        <v>-6.0447346049180561E-4</v>
      </c>
    </row>
    <row r="56" spans="1:7" x14ac:dyDescent="0.3">
      <c r="A56" s="20" t="s">
        <v>128</v>
      </c>
      <c r="B56" s="16" t="s">
        <v>129</v>
      </c>
      <c r="C56" s="16">
        <v>3.7500000000000001E-6</v>
      </c>
      <c r="D56" s="16">
        <v>-0.64820364747108716</v>
      </c>
      <c r="E56" t="str">
        <f t="shared" si="0"/>
        <v>Up to $10</v>
      </c>
      <c r="F56">
        <f t="shared" si="1"/>
        <v>3.7744662277609109E-6</v>
      </c>
      <c r="G56">
        <f t="shared" si="2"/>
        <v>-2.4466227760910798E-8</v>
      </c>
    </row>
    <row r="57" spans="1:7" x14ac:dyDescent="0.3">
      <c r="A57" s="21" t="s">
        <v>130</v>
      </c>
      <c r="B57" s="17" t="s">
        <v>131</v>
      </c>
      <c r="C57" s="17">
        <v>0.99919599999999997</v>
      </c>
      <c r="D57" s="17">
        <v>-2.0785640772402279E-2</v>
      </c>
      <c r="E57" t="str">
        <f t="shared" si="0"/>
        <v>Up to $10</v>
      </c>
      <c r="F57">
        <f t="shared" si="1"/>
        <v>0.99940373246969716</v>
      </c>
      <c r="G57">
        <f t="shared" si="2"/>
        <v>-2.0773246969718606E-4</v>
      </c>
    </row>
    <row r="58" spans="1:7" x14ac:dyDescent="0.3">
      <c r="A58" s="20" t="s">
        <v>132</v>
      </c>
      <c r="B58" s="16" t="s">
        <v>133</v>
      </c>
      <c r="C58" s="16">
        <v>2.5499999999999998</v>
      </c>
      <c r="D58" s="16">
        <v>-0.67768520265549548</v>
      </c>
      <c r="E58" t="str">
        <f t="shared" si="0"/>
        <v>Up to $10</v>
      </c>
      <c r="F58">
        <f t="shared" si="1"/>
        <v>2.5673988823186158</v>
      </c>
      <c r="G58">
        <f t="shared" si="2"/>
        <v>-1.7398882318615971E-2</v>
      </c>
    </row>
    <row r="59" spans="1:7" x14ac:dyDescent="0.3">
      <c r="A59" s="21" t="s">
        <v>136</v>
      </c>
      <c r="B59" s="17" t="s">
        <v>137</v>
      </c>
      <c r="C59" s="17">
        <v>2.0099999999999998</v>
      </c>
      <c r="D59" s="17">
        <v>-0.15940971873374071</v>
      </c>
      <c r="E59" t="str">
        <f t="shared" si="0"/>
        <v>Up to $10</v>
      </c>
      <c r="F59">
        <f t="shared" si="1"/>
        <v>2.0132092512048669</v>
      </c>
      <c r="G59">
        <f t="shared" si="2"/>
        <v>-3.2092512048671473E-3</v>
      </c>
    </row>
    <row r="60" spans="1:7" x14ac:dyDescent="0.3">
      <c r="A60" s="20" t="s">
        <v>134</v>
      </c>
      <c r="B60" s="16" t="s">
        <v>135</v>
      </c>
      <c r="C60" s="16">
        <v>8.98</v>
      </c>
      <c r="D60" s="16">
        <v>-0.56416051559823477</v>
      </c>
      <c r="E60" t="str">
        <f t="shared" si="0"/>
        <v>Up to $10</v>
      </c>
      <c r="F60">
        <f t="shared" si="1"/>
        <v>9.0309490487166535</v>
      </c>
      <c r="G60">
        <f t="shared" si="2"/>
        <v>-5.0949048716653067E-2</v>
      </c>
    </row>
    <row r="61" spans="1:7" x14ac:dyDescent="0.3">
      <c r="A61" s="21" t="s">
        <v>138</v>
      </c>
      <c r="B61" s="17" t="s">
        <v>139</v>
      </c>
      <c r="C61" s="17">
        <v>88.75</v>
      </c>
      <c r="D61" s="17">
        <v>-0.72788565888266055</v>
      </c>
      <c r="E61" t="str">
        <f t="shared" si="0"/>
        <v>&gt;= $10</v>
      </c>
      <c r="F61">
        <f t="shared" si="1"/>
        <v>89.400735129946554</v>
      </c>
      <c r="G61">
        <f t="shared" si="2"/>
        <v>-0.65073512994655403</v>
      </c>
    </row>
    <row r="62" spans="1:7" x14ac:dyDescent="0.3">
      <c r="A62" s="20" t="s">
        <v>140</v>
      </c>
      <c r="B62" s="16" t="s">
        <v>141</v>
      </c>
      <c r="C62" s="16">
        <v>0.99830099999999999</v>
      </c>
      <c r="D62" s="16">
        <v>-1.0009879803440602E-2</v>
      </c>
      <c r="E62" t="str">
        <f t="shared" si="0"/>
        <v>Up to $10</v>
      </c>
      <c r="F62">
        <f t="shared" si="1"/>
        <v>0.99840093873392366</v>
      </c>
      <c r="G62">
        <f t="shared" si="2"/>
        <v>-9.9938733923665701E-5</v>
      </c>
    </row>
    <row r="63" spans="1:7" x14ac:dyDescent="0.3">
      <c r="A63" s="21" t="s">
        <v>142</v>
      </c>
      <c r="B63" s="17" t="s">
        <v>143</v>
      </c>
      <c r="C63" s="17">
        <v>1.9</v>
      </c>
      <c r="D63" s="17">
        <v>-6.9964460628921921E-2</v>
      </c>
      <c r="E63" t="str">
        <f t="shared" si="0"/>
        <v>Up to $10</v>
      </c>
      <c r="F63">
        <f t="shared" si="1"/>
        <v>1.9013302554580056</v>
      </c>
      <c r="G63">
        <f t="shared" si="2"/>
        <v>-1.3302554580056913E-3</v>
      </c>
    </row>
    <row r="64" spans="1:7" x14ac:dyDescent="0.3">
      <c r="A64" s="20" t="s">
        <v>144</v>
      </c>
      <c r="B64" s="16" t="s">
        <v>145</v>
      </c>
      <c r="C64" s="16">
        <v>0.99926000000000004</v>
      </c>
      <c r="D64" s="16">
        <v>7.3147164101177733E-4</v>
      </c>
      <c r="E64" t="str">
        <f t="shared" si="0"/>
        <v>Up to $10</v>
      </c>
      <c r="F64">
        <f t="shared" si="1"/>
        <v>0.99925269074994516</v>
      </c>
      <c r="G64">
        <f t="shared" si="2"/>
        <v>7.3092500548765926E-6</v>
      </c>
    </row>
    <row r="65" spans="1:7" x14ac:dyDescent="0.3">
      <c r="A65" s="21" t="s">
        <v>146</v>
      </c>
      <c r="B65" s="17" t="s">
        <v>147</v>
      </c>
      <c r="C65" s="17">
        <v>8</v>
      </c>
      <c r="D65" s="17">
        <v>0.20980787852562544</v>
      </c>
      <c r="E65" t="str">
        <f t="shared" si="0"/>
        <v>Up to $10</v>
      </c>
      <c r="F65">
        <f t="shared" si="1"/>
        <v>7.9832505114645098</v>
      </c>
      <c r="G65">
        <f t="shared" si="2"/>
        <v>1.6749488535490187E-2</v>
      </c>
    </row>
    <row r="66" spans="1:7" x14ac:dyDescent="0.3">
      <c r="A66" s="20" t="s">
        <v>148</v>
      </c>
      <c r="B66" s="16" t="s">
        <v>149</v>
      </c>
      <c r="C66" s="16">
        <v>73.64</v>
      </c>
      <c r="D66" s="16">
        <v>-9.0844698906063295E-2</v>
      </c>
      <c r="E66" t="str">
        <f t="shared" si="0"/>
        <v>&gt;= $10</v>
      </c>
      <c r="F66">
        <f t="shared" si="1"/>
        <v>73.70695886485359</v>
      </c>
      <c r="G66">
        <f t="shared" si="2"/>
        <v>-6.6958864853589262E-2</v>
      </c>
    </row>
    <row r="67" spans="1:7" x14ac:dyDescent="0.3">
      <c r="A67" s="21" t="s">
        <v>152</v>
      </c>
      <c r="B67" s="17" t="s">
        <v>153</v>
      </c>
      <c r="C67" s="17">
        <v>1.22</v>
      </c>
      <c r="D67" s="17">
        <v>5.9546031291903272E-2</v>
      </c>
      <c r="E67" t="str">
        <f t="shared" ref="E67:E130" si="3">IF(C67&lt;10,"Up to $10","&gt;= $10")</f>
        <v>Up to $10</v>
      </c>
      <c r="F67">
        <f t="shared" ref="F67:F130" si="4">C67/(1+(D67/100))</f>
        <v>1.2192739707398492</v>
      </c>
      <c r="G67">
        <f t="shared" ref="G67:G130" si="5">C67-F67</f>
        <v>7.260292601507512E-4</v>
      </c>
    </row>
    <row r="68" spans="1:7" x14ac:dyDescent="0.3">
      <c r="A68" s="20" t="s">
        <v>150</v>
      </c>
      <c r="B68" s="16" t="s">
        <v>151</v>
      </c>
      <c r="C68" s="16">
        <v>2.06</v>
      </c>
      <c r="D68" s="16">
        <v>-0.36321184248508648</v>
      </c>
      <c r="E68" t="str">
        <f t="shared" si="3"/>
        <v>Up to $10</v>
      </c>
      <c r="F68">
        <f t="shared" si="4"/>
        <v>2.067509439127408</v>
      </c>
      <c r="G68">
        <f t="shared" si="5"/>
        <v>-7.5094391274079797E-3</v>
      </c>
    </row>
    <row r="69" spans="1:7" x14ac:dyDescent="0.3">
      <c r="A69" s="21" t="s">
        <v>154</v>
      </c>
      <c r="B69" s="17" t="s">
        <v>155</v>
      </c>
      <c r="C69" s="17">
        <v>0.115578</v>
      </c>
      <c r="D69" s="17">
        <v>3.4521222066742678E-2</v>
      </c>
      <c r="E69" t="str">
        <f t="shared" si="3"/>
        <v>Up to $10</v>
      </c>
      <c r="F69">
        <f t="shared" si="4"/>
        <v>0.11553811483080752</v>
      </c>
      <c r="G69">
        <f t="shared" si="5"/>
        <v>3.9885169192482861E-5</v>
      </c>
    </row>
    <row r="70" spans="1:7" x14ac:dyDescent="0.3">
      <c r="A70" s="20" t="s">
        <v>156</v>
      </c>
      <c r="B70" s="16" t="s">
        <v>157</v>
      </c>
      <c r="C70" s="16">
        <v>1</v>
      </c>
      <c r="D70" s="16">
        <v>3.6520957212520331E-3</v>
      </c>
      <c r="E70" t="str">
        <f t="shared" si="3"/>
        <v>Up to $10</v>
      </c>
      <c r="F70">
        <f t="shared" si="4"/>
        <v>0.99996348037651894</v>
      </c>
      <c r="G70">
        <f t="shared" si="5"/>
        <v>3.6519623481057195E-5</v>
      </c>
    </row>
    <row r="71" spans="1:7" x14ac:dyDescent="0.3">
      <c r="A71" s="21" t="s">
        <v>158</v>
      </c>
      <c r="B71" s="17" t="s">
        <v>159</v>
      </c>
      <c r="C71" s="17">
        <v>1.93</v>
      </c>
      <c r="D71" s="17">
        <v>-1.536708769952134</v>
      </c>
      <c r="E71" t="str">
        <f t="shared" si="3"/>
        <v>Up to $10</v>
      </c>
      <c r="F71">
        <f t="shared" si="4"/>
        <v>1.9601213567915199</v>
      </c>
      <c r="G71">
        <f t="shared" si="5"/>
        <v>-3.0121356791519949E-2</v>
      </c>
    </row>
    <row r="72" spans="1:7" x14ac:dyDescent="0.3">
      <c r="A72" s="20" t="s">
        <v>160</v>
      </c>
      <c r="B72" s="16" t="s">
        <v>161</v>
      </c>
      <c r="C72" s="16">
        <v>1.1000000000000001</v>
      </c>
      <c r="D72" s="16">
        <v>0</v>
      </c>
      <c r="E72" t="str">
        <f t="shared" si="3"/>
        <v>Up to $10</v>
      </c>
      <c r="F72">
        <f t="shared" si="4"/>
        <v>1.1000000000000001</v>
      </c>
      <c r="G72">
        <f t="shared" si="5"/>
        <v>0</v>
      </c>
    </row>
    <row r="73" spans="1:7" x14ac:dyDescent="0.3">
      <c r="A73" s="21" t="s">
        <v>162</v>
      </c>
      <c r="B73" s="17" t="s">
        <v>163</v>
      </c>
      <c r="C73" s="17">
        <v>11.09</v>
      </c>
      <c r="D73" s="17">
        <v>0</v>
      </c>
      <c r="E73" t="str">
        <f t="shared" si="3"/>
        <v>&gt;= $10</v>
      </c>
      <c r="F73">
        <f t="shared" si="4"/>
        <v>11.09</v>
      </c>
      <c r="G73">
        <f t="shared" si="5"/>
        <v>0</v>
      </c>
    </row>
    <row r="74" spans="1:7" x14ac:dyDescent="0.3">
      <c r="A74" s="20" t="s">
        <v>164</v>
      </c>
      <c r="B74" s="16" t="s">
        <v>165</v>
      </c>
      <c r="C74" s="16">
        <v>9.1508000000000006E-2</v>
      </c>
      <c r="D74" s="16">
        <v>3.8823601440828505E-2</v>
      </c>
      <c r="E74" t="str">
        <f t="shared" si="3"/>
        <v>Up to $10</v>
      </c>
      <c r="F74">
        <f t="shared" si="4"/>
        <v>9.1472487086185647E-2</v>
      </c>
      <c r="G74">
        <f t="shared" si="5"/>
        <v>3.5512913814358948E-5</v>
      </c>
    </row>
    <row r="75" spans="1:7" x14ac:dyDescent="0.3">
      <c r="A75" s="21" t="s">
        <v>168</v>
      </c>
      <c r="B75" s="17" t="s">
        <v>169</v>
      </c>
      <c r="C75" s="17">
        <v>105.74</v>
      </c>
      <c r="D75" s="17">
        <v>0</v>
      </c>
      <c r="E75" t="str">
        <f t="shared" si="3"/>
        <v>&gt;= $10</v>
      </c>
      <c r="F75">
        <f t="shared" si="4"/>
        <v>105.74</v>
      </c>
      <c r="G75">
        <f t="shared" si="5"/>
        <v>0</v>
      </c>
    </row>
    <row r="76" spans="1:7" x14ac:dyDescent="0.3">
      <c r="A76" s="20" t="s">
        <v>166</v>
      </c>
      <c r="B76" s="16" t="s">
        <v>167</v>
      </c>
      <c r="C76" s="16">
        <v>0.10625999999999999</v>
      </c>
      <c r="D76" s="16">
        <v>-0.92173924283602915</v>
      </c>
      <c r="E76" t="str">
        <f t="shared" si="3"/>
        <v>Up to $10</v>
      </c>
      <c r="F76">
        <f t="shared" si="4"/>
        <v>0.10724855199107514</v>
      </c>
      <c r="G76">
        <f t="shared" si="5"/>
        <v>-9.885519910751428E-4</v>
      </c>
    </row>
    <row r="77" spans="1:7" x14ac:dyDescent="0.3">
      <c r="A77" s="21" t="s">
        <v>170</v>
      </c>
      <c r="B77" s="17" t="s">
        <v>171</v>
      </c>
      <c r="C77" s="17">
        <v>3.4611650000000001E-2</v>
      </c>
      <c r="D77" s="17">
        <v>-1.2834753987679129E-2</v>
      </c>
      <c r="E77" t="str">
        <f t="shared" si="3"/>
        <v>Up to $10</v>
      </c>
      <c r="F77">
        <f t="shared" si="4"/>
        <v>3.4616092890362625E-2</v>
      </c>
      <c r="G77">
        <f t="shared" si="5"/>
        <v>-4.4428903626242411E-6</v>
      </c>
    </row>
    <row r="78" spans="1:7" x14ac:dyDescent="0.3">
      <c r="A78" s="20" t="s">
        <v>172</v>
      </c>
      <c r="B78" s="16" t="s">
        <v>173</v>
      </c>
      <c r="C78" s="16">
        <v>0.26061099999999998</v>
      </c>
      <c r="D78" s="16">
        <v>-1.3984860526017806</v>
      </c>
      <c r="E78" t="str">
        <f t="shared" si="3"/>
        <v>Up to $10</v>
      </c>
      <c r="F78">
        <f t="shared" si="4"/>
        <v>0.26430730073681252</v>
      </c>
      <c r="G78">
        <f t="shared" si="5"/>
        <v>-3.6963007368125411E-3</v>
      </c>
    </row>
    <row r="79" spans="1:7" x14ac:dyDescent="0.3">
      <c r="A79" s="21" t="s">
        <v>174</v>
      </c>
      <c r="B79" s="17" t="s">
        <v>175</v>
      </c>
      <c r="C79" s="17">
        <v>0.87499899999999997</v>
      </c>
      <c r="D79" s="17">
        <v>-3.8154939888950794E-2</v>
      </c>
      <c r="E79" t="str">
        <f t="shared" si="3"/>
        <v>Up to $10</v>
      </c>
      <c r="F79">
        <f t="shared" si="4"/>
        <v>0.87533298277340532</v>
      </c>
      <c r="G79">
        <f t="shared" si="5"/>
        <v>-3.3398277340535021E-4</v>
      </c>
    </row>
    <row r="80" spans="1:7" x14ac:dyDescent="0.3">
      <c r="A80" s="20" t="s">
        <v>176</v>
      </c>
      <c r="B80" s="16" t="s">
        <v>177</v>
      </c>
      <c r="C80" s="16">
        <v>3.4954939999999997E-2</v>
      </c>
      <c r="D80" s="16">
        <v>0.14167470231893425</v>
      </c>
      <c r="E80" t="str">
        <f t="shared" si="3"/>
        <v>Up to $10</v>
      </c>
      <c r="F80">
        <f t="shared" si="4"/>
        <v>3.490548775413136E-2</v>
      </c>
      <c r="G80">
        <f t="shared" si="5"/>
        <v>4.9452245868636391E-5</v>
      </c>
    </row>
    <row r="81" spans="1:7" x14ac:dyDescent="0.3">
      <c r="A81" s="21" t="s">
        <v>178</v>
      </c>
      <c r="B81" s="17" t="s">
        <v>179</v>
      </c>
      <c r="C81" s="17">
        <v>9.2516000000000001E-2</v>
      </c>
      <c r="D81" s="17">
        <v>0.27689853311011403</v>
      </c>
      <c r="E81" t="str">
        <f t="shared" si="3"/>
        <v>Up to $10</v>
      </c>
      <c r="F81">
        <f t="shared" si="4"/>
        <v>9.2260531940417403E-2</v>
      </c>
      <c r="G81">
        <f t="shared" si="5"/>
        <v>2.5546805958259755E-4</v>
      </c>
    </row>
    <row r="82" spans="1:7" x14ac:dyDescent="0.3">
      <c r="A82" s="20" t="s">
        <v>180</v>
      </c>
      <c r="B82" s="16" t="s">
        <v>181</v>
      </c>
      <c r="C82" s="16">
        <v>0.95929299999999995</v>
      </c>
      <c r="D82" s="16">
        <v>-0.93372226689195204</v>
      </c>
      <c r="E82" t="str">
        <f t="shared" si="3"/>
        <v>Up to $10</v>
      </c>
      <c r="F82">
        <f t="shared" si="4"/>
        <v>0.96833455536141877</v>
      </c>
      <c r="G82">
        <f t="shared" si="5"/>
        <v>-9.0415553614188182E-3</v>
      </c>
    </row>
    <row r="83" spans="1:7" x14ac:dyDescent="0.3">
      <c r="A83" s="21" t="s">
        <v>182</v>
      </c>
      <c r="B83" s="17" t="s">
        <v>183</v>
      </c>
      <c r="C83" s="17">
        <v>16.89</v>
      </c>
      <c r="D83" s="17">
        <v>-5.6718009400309854E-2</v>
      </c>
      <c r="E83" t="str">
        <f t="shared" si="3"/>
        <v>&gt;= $10</v>
      </c>
      <c r="F83">
        <f t="shared" si="4"/>
        <v>16.899585108270323</v>
      </c>
      <c r="G83">
        <f t="shared" si="5"/>
        <v>-9.5851082703219959E-3</v>
      </c>
    </row>
    <row r="84" spans="1:7" x14ac:dyDescent="0.3">
      <c r="A84" s="20" t="s">
        <v>184</v>
      </c>
      <c r="B84" s="16" t="s">
        <v>185</v>
      </c>
      <c r="C84" s="16">
        <v>0.98548500000000006</v>
      </c>
      <c r="D84" s="16">
        <v>-0.7649258471107746</v>
      </c>
      <c r="E84" t="str">
        <f t="shared" si="3"/>
        <v>Up to $10</v>
      </c>
      <c r="F84">
        <f t="shared" si="4"/>
        <v>0.99308133582052416</v>
      </c>
      <c r="G84">
        <f t="shared" si="5"/>
        <v>-7.5963358205241027E-3</v>
      </c>
    </row>
    <row r="85" spans="1:7" x14ac:dyDescent="0.3">
      <c r="A85" s="21" t="s">
        <v>186</v>
      </c>
      <c r="B85" s="17" t="s">
        <v>187</v>
      </c>
      <c r="C85" s="17">
        <v>7.01</v>
      </c>
      <c r="D85" s="17">
        <v>-0.93137384136615964</v>
      </c>
      <c r="E85" t="str">
        <f t="shared" si="3"/>
        <v>Up to $10</v>
      </c>
      <c r="F85">
        <f t="shared" si="4"/>
        <v>7.0759031106126606</v>
      </c>
      <c r="G85">
        <f t="shared" si="5"/>
        <v>-6.5903110612660853E-2</v>
      </c>
    </row>
    <row r="86" spans="1:7" x14ac:dyDescent="0.3">
      <c r="A86" s="20" t="s">
        <v>188</v>
      </c>
      <c r="B86" s="16" t="s">
        <v>189</v>
      </c>
      <c r="C86" s="16">
        <v>8.4871300000000007E-3</v>
      </c>
      <c r="D86" s="16">
        <v>-0.28081130095493589</v>
      </c>
      <c r="E86" t="str">
        <f t="shared" si="3"/>
        <v>Up to $10</v>
      </c>
      <c r="F86">
        <f t="shared" si="4"/>
        <v>8.5110299338819976E-3</v>
      </c>
      <c r="G86">
        <f t="shared" si="5"/>
        <v>-2.3899933881996877E-5</v>
      </c>
    </row>
    <row r="87" spans="1:7" x14ac:dyDescent="0.3">
      <c r="A87" s="21" t="s">
        <v>190</v>
      </c>
      <c r="B87" s="17" t="s">
        <v>191</v>
      </c>
      <c r="C87" s="17">
        <v>3.5748380000000003E-2</v>
      </c>
      <c r="D87" s="17">
        <v>-3.2478520796764006E-2</v>
      </c>
      <c r="E87" t="str">
        <f t="shared" si="3"/>
        <v>Up to $10</v>
      </c>
      <c r="F87">
        <f t="shared" si="4"/>
        <v>3.5759994317191235E-2</v>
      </c>
      <c r="G87">
        <f t="shared" si="5"/>
        <v>-1.1614317191231682E-5</v>
      </c>
    </row>
    <row r="88" spans="1:7" x14ac:dyDescent="0.3">
      <c r="A88" s="20" t="s">
        <v>192</v>
      </c>
      <c r="B88" s="16" t="s">
        <v>193</v>
      </c>
      <c r="C88" s="16">
        <v>0.21218899999999999</v>
      </c>
      <c r="D88" s="16">
        <v>-1.3785026420975171</v>
      </c>
      <c r="E88" t="str">
        <f t="shared" si="3"/>
        <v>Up to $10</v>
      </c>
      <c r="F88">
        <f t="shared" si="4"/>
        <v>0.21515491620448146</v>
      </c>
      <c r="G88">
        <f t="shared" si="5"/>
        <v>-2.9659162044814724E-3</v>
      </c>
    </row>
    <row r="89" spans="1:7" x14ac:dyDescent="0.3">
      <c r="A89" s="21" t="s">
        <v>194</v>
      </c>
      <c r="B89" s="17" t="s">
        <v>195</v>
      </c>
      <c r="C89" s="17">
        <v>0.11032599999999999</v>
      </c>
      <c r="D89" s="17">
        <v>-1.1177254384630504</v>
      </c>
      <c r="E89" t="str">
        <f t="shared" si="3"/>
        <v>Up to $10</v>
      </c>
      <c r="F89">
        <f t="shared" si="4"/>
        <v>0.11157308070552252</v>
      </c>
      <c r="G89">
        <f t="shared" si="5"/>
        <v>-1.2470807055225269E-3</v>
      </c>
    </row>
    <row r="90" spans="1:7" x14ac:dyDescent="0.3">
      <c r="A90" s="20" t="s">
        <v>196</v>
      </c>
      <c r="B90" s="16" t="s">
        <v>197</v>
      </c>
      <c r="C90" s="16">
        <v>1.7726700000000001E-3</v>
      </c>
      <c r="D90" s="16">
        <v>-0.75974920005497459</v>
      </c>
      <c r="E90" t="str">
        <f t="shared" si="3"/>
        <v>Up to $10</v>
      </c>
      <c r="F90">
        <f t="shared" si="4"/>
        <v>1.7862409513388514E-3</v>
      </c>
      <c r="G90">
        <f t="shared" si="5"/>
        <v>-1.3570951338851304E-5</v>
      </c>
    </row>
    <row r="91" spans="1:7" x14ac:dyDescent="0.3">
      <c r="A91" s="21" t="s">
        <v>198</v>
      </c>
      <c r="B91" s="17" t="s">
        <v>199</v>
      </c>
      <c r="C91" s="17">
        <v>13.39</v>
      </c>
      <c r="D91" s="17">
        <v>-1.4819695960968398</v>
      </c>
      <c r="E91" t="str">
        <f t="shared" si="3"/>
        <v>&gt;= $10</v>
      </c>
      <c r="F91">
        <f t="shared" si="4"/>
        <v>13.591420722789344</v>
      </c>
      <c r="G91">
        <f t="shared" si="5"/>
        <v>-0.20142072278934364</v>
      </c>
    </row>
    <row r="92" spans="1:7" x14ac:dyDescent="0.3">
      <c r="A92" s="20" t="s">
        <v>200</v>
      </c>
      <c r="B92" s="16" t="s">
        <v>201</v>
      </c>
      <c r="C92" s="16">
        <v>48.18</v>
      </c>
      <c r="D92" s="16">
        <v>0.37147373851804905</v>
      </c>
      <c r="E92" t="str">
        <f t="shared" si="3"/>
        <v>&gt;= $10</v>
      </c>
      <c r="F92">
        <f t="shared" si="4"/>
        <v>48.001686341196653</v>
      </c>
      <c r="G92">
        <f t="shared" si="5"/>
        <v>0.17831365880334715</v>
      </c>
    </row>
    <row r="93" spans="1:7" x14ac:dyDescent="0.3">
      <c r="A93" s="21" t="s">
        <v>202</v>
      </c>
      <c r="B93" s="17" t="s">
        <v>203</v>
      </c>
      <c r="C93" s="17">
        <v>7.8797000000000006E-2</v>
      </c>
      <c r="D93" s="17">
        <v>-0.1827800413121955</v>
      </c>
      <c r="E93" t="str">
        <f t="shared" si="3"/>
        <v>Up to $10</v>
      </c>
      <c r="F93">
        <f t="shared" si="4"/>
        <v>7.8941288920501271E-2</v>
      </c>
      <c r="G93">
        <f t="shared" si="5"/>
        <v>-1.4428892050126485E-4</v>
      </c>
    </row>
    <row r="94" spans="1:7" x14ac:dyDescent="0.3">
      <c r="A94" s="20" t="s">
        <v>204</v>
      </c>
      <c r="B94" s="16" t="s">
        <v>205</v>
      </c>
      <c r="C94" s="16">
        <v>9.3138400000000003E-3</v>
      </c>
      <c r="D94" s="16">
        <v>0.10685062857596712</v>
      </c>
      <c r="E94" t="str">
        <f t="shared" si="3"/>
        <v>Up to $10</v>
      </c>
      <c r="F94">
        <f t="shared" si="4"/>
        <v>9.3038987257294883E-3</v>
      </c>
      <c r="G94">
        <f t="shared" si="5"/>
        <v>9.9412742705119739E-6</v>
      </c>
    </row>
    <row r="95" spans="1:7" x14ac:dyDescent="0.3">
      <c r="A95" s="21" t="s">
        <v>206</v>
      </c>
      <c r="B95" s="17" t="s">
        <v>207</v>
      </c>
      <c r="C95" s="17">
        <v>0.99903600000000004</v>
      </c>
      <c r="D95" s="17">
        <v>1.0227157700040065E-2</v>
      </c>
      <c r="E95" t="str">
        <f t="shared" si="3"/>
        <v>Up to $10</v>
      </c>
      <c r="F95">
        <f t="shared" si="4"/>
        <v>0.99893383746112374</v>
      </c>
      <c r="G95">
        <f t="shared" si="5"/>
        <v>1.0216253887629367E-4</v>
      </c>
    </row>
    <row r="96" spans="1:7" x14ac:dyDescent="0.3">
      <c r="A96" s="20" t="s">
        <v>208</v>
      </c>
      <c r="B96" s="16" t="s">
        <v>209</v>
      </c>
      <c r="C96" s="16">
        <v>6.5942500000000003E-3</v>
      </c>
      <c r="D96" s="16">
        <v>-0.43788924434869664</v>
      </c>
      <c r="E96" t="str">
        <f t="shared" si="3"/>
        <v>Up to $10</v>
      </c>
      <c r="F96">
        <f t="shared" si="4"/>
        <v>6.6232525103689611E-3</v>
      </c>
      <c r="G96">
        <f t="shared" si="5"/>
        <v>-2.9002510368960829E-5</v>
      </c>
    </row>
    <row r="97" spans="1:7" x14ac:dyDescent="0.3">
      <c r="A97" s="21" t="s">
        <v>210</v>
      </c>
      <c r="B97" s="17" t="s">
        <v>211</v>
      </c>
      <c r="C97" s="17">
        <v>115.31</v>
      </c>
      <c r="D97" s="17">
        <v>0</v>
      </c>
      <c r="E97" t="str">
        <f t="shared" si="3"/>
        <v>&gt;= $10</v>
      </c>
      <c r="F97">
        <f t="shared" si="4"/>
        <v>115.31</v>
      </c>
      <c r="G97">
        <f t="shared" si="5"/>
        <v>0</v>
      </c>
    </row>
    <row r="98" spans="1:7" x14ac:dyDescent="0.3">
      <c r="A98" s="20" t="s">
        <v>212</v>
      </c>
      <c r="B98" s="16" t="s">
        <v>213</v>
      </c>
      <c r="C98" s="16">
        <v>0.99855000000000005</v>
      </c>
      <c r="D98" s="16">
        <v>4.4487532887839989E-4</v>
      </c>
      <c r="E98" t="str">
        <f t="shared" si="3"/>
        <v>Up to $10</v>
      </c>
      <c r="F98">
        <f t="shared" si="4"/>
        <v>0.99854555771716602</v>
      </c>
      <c r="G98">
        <f t="shared" si="5"/>
        <v>4.4422828340273668E-6</v>
      </c>
    </row>
    <row r="99" spans="1:7" x14ac:dyDescent="0.3">
      <c r="A99" s="21" t="s">
        <v>214</v>
      </c>
      <c r="B99" s="17" t="s">
        <v>215</v>
      </c>
      <c r="C99" s="17">
        <v>6.1600000000000003E-6</v>
      </c>
      <c r="D99" s="17">
        <v>-0.53513109172105677</v>
      </c>
      <c r="E99" t="str">
        <f t="shared" si="3"/>
        <v>Up to $10</v>
      </c>
      <c r="F99">
        <f t="shared" si="4"/>
        <v>6.1931414253211499E-6</v>
      </c>
      <c r="G99">
        <f t="shared" si="5"/>
        <v>-3.3141425321149549E-8</v>
      </c>
    </row>
    <row r="100" spans="1:7" x14ac:dyDescent="0.3">
      <c r="A100" s="20" t="s">
        <v>216</v>
      </c>
      <c r="B100" s="16" t="s">
        <v>217</v>
      </c>
      <c r="C100" s="16">
        <v>0.236182</v>
      </c>
      <c r="D100" s="16">
        <v>-0.29263925232682847</v>
      </c>
      <c r="E100" t="str">
        <f t="shared" si="3"/>
        <v>Up to $10</v>
      </c>
      <c r="F100">
        <f t="shared" si="4"/>
        <v>0.23687518978433264</v>
      </c>
      <c r="G100">
        <f t="shared" si="5"/>
        <v>-6.9318978433263734E-4</v>
      </c>
    </row>
    <row r="101" spans="1:7" x14ac:dyDescent="0.3">
      <c r="A101" s="21" t="s">
        <v>218</v>
      </c>
      <c r="B101" s="17" t="s">
        <v>219</v>
      </c>
      <c r="C101" s="17">
        <v>1.004557E-2</v>
      </c>
      <c r="D101" s="17">
        <v>-6.1557530964273965</v>
      </c>
      <c r="E101" t="str">
        <f t="shared" si="3"/>
        <v>Up to $10</v>
      </c>
      <c r="F101">
        <f t="shared" si="4"/>
        <v>1.0704513416067032E-2</v>
      </c>
      <c r="G101">
        <f t="shared" si="5"/>
        <v>-6.589434160670319E-4</v>
      </c>
    </row>
    <row r="102" spans="1:7" x14ac:dyDescent="0.3">
      <c r="A102" s="20" t="s">
        <v>220</v>
      </c>
      <c r="B102" s="16" t="s">
        <v>221</v>
      </c>
      <c r="C102" s="16">
        <v>1.299224E-2</v>
      </c>
      <c r="D102" s="16">
        <v>0.74374329820953344</v>
      </c>
      <c r="E102" t="str">
        <f t="shared" si="3"/>
        <v>Up to $10</v>
      </c>
      <c r="F102">
        <f t="shared" si="4"/>
        <v>1.2896324451178998E-2</v>
      </c>
      <c r="G102">
        <f t="shared" si="5"/>
        <v>9.5915548821002769E-5</v>
      </c>
    </row>
    <row r="103" spans="1:7" x14ac:dyDescent="0.3">
      <c r="A103" s="21" t="s">
        <v>222</v>
      </c>
      <c r="B103" s="17" t="s">
        <v>223</v>
      </c>
      <c r="C103" s="17">
        <v>0.99986399999999998</v>
      </c>
      <c r="D103" s="17">
        <v>5.8097547618077491E-3</v>
      </c>
      <c r="E103" t="str">
        <f t="shared" si="3"/>
        <v>Up to $10</v>
      </c>
      <c r="F103">
        <f t="shared" si="4"/>
        <v>0.99980591372831829</v>
      </c>
      <c r="G103">
        <f t="shared" si="5"/>
        <v>5.8086271681689894E-5</v>
      </c>
    </row>
    <row r="104" spans="1:7" x14ac:dyDescent="0.3">
      <c r="A104" s="20" t="s">
        <v>224</v>
      </c>
      <c r="B104" s="16" t="s">
        <v>225</v>
      </c>
      <c r="C104" s="16">
        <v>3.027649E-2</v>
      </c>
      <c r="D104" s="16">
        <v>0.53323550554772248</v>
      </c>
      <c r="E104" t="str">
        <f t="shared" si="3"/>
        <v>Up to $10</v>
      </c>
      <c r="F104">
        <f t="shared" si="4"/>
        <v>3.0115901321338907E-2</v>
      </c>
      <c r="G104">
        <f t="shared" si="5"/>
        <v>1.605886786610923E-4</v>
      </c>
    </row>
    <row r="105" spans="1:7" x14ac:dyDescent="0.3">
      <c r="A105" s="21" t="s">
        <v>228</v>
      </c>
      <c r="B105" s="17" t="s">
        <v>229</v>
      </c>
      <c r="C105" s="17">
        <v>0.99854200000000004</v>
      </c>
      <c r="D105" s="17">
        <v>-8.5989128240925403E-2</v>
      </c>
      <c r="E105" t="str">
        <f t="shared" si="3"/>
        <v>Up to $10</v>
      </c>
      <c r="F105">
        <f t="shared" si="4"/>
        <v>0.99940137653130712</v>
      </c>
      <c r="G105">
        <f t="shared" si="5"/>
        <v>-8.593765313070767E-4</v>
      </c>
    </row>
    <row r="106" spans="1:7" x14ac:dyDescent="0.3">
      <c r="A106" s="20" t="s">
        <v>226</v>
      </c>
      <c r="B106" s="16" t="s">
        <v>227</v>
      </c>
      <c r="C106" s="16">
        <v>4.93</v>
      </c>
      <c r="D106" s="16">
        <v>-0.94066156139839119</v>
      </c>
      <c r="E106" t="str">
        <f t="shared" si="3"/>
        <v>Up to $10</v>
      </c>
      <c r="F106">
        <f t="shared" si="4"/>
        <v>4.9768149855509929</v>
      </c>
      <c r="G106">
        <f t="shared" si="5"/>
        <v>-4.6814985550993171E-2</v>
      </c>
    </row>
    <row r="107" spans="1:7" x14ac:dyDescent="0.3">
      <c r="A107" s="21" t="s">
        <v>230</v>
      </c>
      <c r="B107" s="17" t="s">
        <v>231</v>
      </c>
      <c r="C107" s="17">
        <v>0.99967799999999996</v>
      </c>
      <c r="D107" s="17">
        <v>3.1267460640867009E-3</v>
      </c>
      <c r="E107" t="str">
        <f t="shared" si="3"/>
        <v>Up to $10</v>
      </c>
      <c r="F107">
        <f t="shared" si="4"/>
        <v>0.99964674358479011</v>
      </c>
      <c r="G107">
        <f t="shared" si="5"/>
        <v>3.1256415209846011E-5</v>
      </c>
    </row>
    <row r="108" spans="1:7" x14ac:dyDescent="0.3">
      <c r="A108" s="20" t="s">
        <v>234</v>
      </c>
      <c r="B108" s="16" t="s">
        <v>235</v>
      </c>
      <c r="C108" s="16">
        <v>1.38</v>
      </c>
      <c r="D108" s="16">
        <v>0.85723729515254488</v>
      </c>
      <c r="E108" t="str">
        <f t="shared" si="3"/>
        <v>Up to $10</v>
      </c>
      <c r="F108">
        <f t="shared" si="4"/>
        <v>1.368270673488224</v>
      </c>
      <c r="G108">
        <f t="shared" si="5"/>
        <v>1.1729326511775939E-2</v>
      </c>
    </row>
    <row r="109" spans="1:7" x14ac:dyDescent="0.3">
      <c r="A109" s="21" t="s">
        <v>232</v>
      </c>
      <c r="B109" s="17" t="s">
        <v>233</v>
      </c>
      <c r="C109" s="17">
        <v>2.04</v>
      </c>
      <c r="D109" s="17">
        <v>-0.80213476534117634</v>
      </c>
      <c r="E109" t="str">
        <f t="shared" si="3"/>
        <v>Up to $10</v>
      </c>
      <c r="F109">
        <f t="shared" si="4"/>
        <v>2.0564958683074992</v>
      </c>
      <c r="G109">
        <f t="shared" si="5"/>
        <v>-1.6495868307499162E-2</v>
      </c>
    </row>
    <row r="110" spans="1:7" x14ac:dyDescent="0.3">
      <c r="A110" s="20" t="s">
        <v>236</v>
      </c>
      <c r="B110" s="16" t="s">
        <v>237</v>
      </c>
      <c r="C110" s="16">
        <v>0.73280100000000004</v>
      </c>
      <c r="D110" s="16">
        <v>-0.91518623852076797</v>
      </c>
      <c r="E110" t="str">
        <f t="shared" si="3"/>
        <v>Up to $10</v>
      </c>
      <c r="F110">
        <f t="shared" si="4"/>
        <v>0.73956943771830341</v>
      </c>
      <c r="G110">
        <f t="shared" si="5"/>
        <v>-6.7684377183033773E-3</v>
      </c>
    </row>
    <row r="111" spans="1:7" x14ac:dyDescent="0.3">
      <c r="A111" s="21" t="s">
        <v>238</v>
      </c>
      <c r="B111" s="17" t="s">
        <v>239</v>
      </c>
      <c r="C111" s="17">
        <v>1.45</v>
      </c>
      <c r="D111" s="17">
        <v>4.1447496129224208E-2</v>
      </c>
      <c r="E111" t="str">
        <f t="shared" si="3"/>
        <v>Up to $10</v>
      </c>
      <c r="F111">
        <f t="shared" si="4"/>
        <v>1.4493992602976911</v>
      </c>
      <c r="G111">
        <f t="shared" si="5"/>
        <v>6.0073970230889451E-4</v>
      </c>
    </row>
    <row r="112" spans="1:7" x14ac:dyDescent="0.3">
      <c r="A112" s="20" t="s">
        <v>240</v>
      </c>
      <c r="B112" s="16" t="s">
        <v>241</v>
      </c>
      <c r="C112" s="16">
        <v>0.248942</v>
      </c>
      <c r="D112" s="16">
        <v>-2.0648232511594364</v>
      </c>
      <c r="E112" t="str">
        <f t="shared" si="3"/>
        <v>Up to $10</v>
      </c>
      <c r="F112">
        <f t="shared" si="4"/>
        <v>0.254190586328775</v>
      </c>
      <c r="G112">
        <f t="shared" si="5"/>
        <v>-5.2485863287750067E-3</v>
      </c>
    </row>
    <row r="113" spans="1:7" x14ac:dyDescent="0.3">
      <c r="A113" s="21" t="s">
        <v>242</v>
      </c>
      <c r="B113" s="17" t="s">
        <v>243</v>
      </c>
      <c r="C113" s="17">
        <v>0.24349899999999999</v>
      </c>
      <c r="D113" s="17">
        <v>-0.38965096199466137</v>
      </c>
      <c r="E113" t="str">
        <f t="shared" si="3"/>
        <v>Up to $10</v>
      </c>
      <c r="F113">
        <f t="shared" si="4"/>
        <v>0.24445150765117324</v>
      </c>
      <c r="G113">
        <f t="shared" si="5"/>
        <v>-9.5250765117324554E-4</v>
      </c>
    </row>
    <row r="114" spans="1:7" x14ac:dyDescent="0.3">
      <c r="A114" s="20" t="s">
        <v>244</v>
      </c>
      <c r="B114" s="16" t="s">
        <v>245</v>
      </c>
      <c r="C114" s="16">
        <v>4.3249959999999997E-2</v>
      </c>
      <c r="D114" s="16">
        <v>-1.1358438426370945</v>
      </c>
      <c r="E114" t="str">
        <f t="shared" si="3"/>
        <v>Up to $10</v>
      </c>
      <c r="F114">
        <f t="shared" si="4"/>
        <v>4.3746855969881211E-2</v>
      </c>
      <c r="G114">
        <f t="shared" si="5"/>
        <v>-4.9689596988121421E-4</v>
      </c>
    </row>
    <row r="115" spans="1:7" x14ac:dyDescent="0.3">
      <c r="A115" s="21" t="s">
        <v>248</v>
      </c>
      <c r="B115" s="17" t="s">
        <v>249</v>
      </c>
      <c r="C115" s="17">
        <v>0.43762800000000002</v>
      </c>
      <c r="D115" s="17">
        <v>0.41786221904224868</v>
      </c>
      <c r="E115" t="str">
        <f t="shared" si="3"/>
        <v>Up to $10</v>
      </c>
      <c r="F115">
        <f t="shared" si="4"/>
        <v>0.43580692750200029</v>
      </c>
      <c r="G115">
        <f t="shared" si="5"/>
        <v>1.8210724979997317E-3</v>
      </c>
    </row>
    <row r="116" spans="1:7" x14ac:dyDescent="0.3">
      <c r="A116" s="20" t="s">
        <v>246</v>
      </c>
      <c r="B116" s="16" t="s">
        <v>247</v>
      </c>
      <c r="C116" s="16">
        <v>0.19362299999999999</v>
      </c>
      <c r="D116" s="16">
        <v>-1.2785764690005983</v>
      </c>
      <c r="E116" t="str">
        <f t="shared" si="3"/>
        <v>Up to $10</v>
      </c>
      <c r="F116">
        <f t="shared" si="4"/>
        <v>0.19613068073233431</v>
      </c>
      <c r="G116">
        <f t="shared" si="5"/>
        <v>-2.5076807323343164E-3</v>
      </c>
    </row>
    <row r="117" spans="1:7" x14ac:dyDescent="0.3">
      <c r="A117" s="21" t="s">
        <v>250</v>
      </c>
      <c r="B117" s="17" t="s">
        <v>251</v>
      </c>
      <c r="C117" s="17">
        <v>1.1599999999999999</v>
      </c>
      <c r="D117" s="17">
        <v>2.3664700818693984E-2</v>
      </c>
      <c r="E117" t="str">
        <f t="shared" si="3"/>
        <v>Up to $10</v>
      </c>
      <c r="F117">
        <f t="shared" si="4"/>
        <v>1.1597255544172291</v>
      </c>
      <c r="G117">
        <f t="shared" si="5"/>
        <v>2.7444558277078812E-4</v>
      </c>
    </row>
    <row r="118" spans="1:7" x14ac:dyDescent="0.3">
      <c r="A118" s="20" t="s">
        <v>252</v>
      </c>
      <c r="B118" s="16" t="s">
        <v>253</v>
      </c>
      <c r="C118" s="16">
        <v>1.0349999999999999</v>
      </c>
      <c r="D118" s="16">
        <v>0</v>
      </c>
      <c r="E118" t="str">
        <f t="shared" si="3"/>
        <v>Up to $10</v>
      </c>
      <c r="F118">
        <f t="shared" si="4"/>
        <v>1.0349999999999999</v>
      </c>
      <c r="G118">
        <f t="shared" si="5"/>
        <v>0</v>
      </c>
    </row>
    <row r="119" spans="1:7" x14ac:dyDescent="0.3">
      <c r="A119" s="21" t="s">
        <v>254</v>
      </c>
      <c r="B119" s="17" t="s">
        <v>255</v>
      </c>
      <c r="C119" s="17">
        <v>7.6660000000000001E-5</v>
      </c>
      <c r="D119" s="17">
        <v>-0.47084749742235543</v>
      </c>
      <c r="E119" t="str">
        <f t="shared" si="3"/>
        <v>Up to $10</v>
      </c>
      <c r="F119">
        <f t="shared" si="4"/>
        <v>7.7022659263590763E-5</v>
      </c>
      <c r="G119">
        <f t="shared" si="5"/>
        <v>-3.6265926359076151E-7</v>
      </c>
    </row>
    <row r="120" spans="1:7" x14ac:dyDescent="0.3">
      <c r="A120" s="20" t="s">
        <v>256</v>
      </c>
      <c r="B120" s="16" t="s">
        <v>257</v>
      </c>
      <c r="C120" s="16">
        <v>1.17</v>
      </c>
      <c r="D120" s="16">
        <v>5.9546031291912063E-2</v>
      </c>
      <c r="E120" t="str">
        <f t="shared" si="3"/>
        <v>Up to $10</v>
      </c>
      <c r="F120">
        <f t="shared" si="4"/>
        <v>1.1693037260373964</v>
      </c>
      <c r="G120">
        <f t="shared" si="5"/>
        <v>6.9627396260352192E-4</v>
      </c>
    </row>
    <row r="121" spans="1:7" x14ac:dyDescent="0.3">
      <c r="A121" s="21" t="s">
        <v>258</v>
      </c>
      <c r="B121" s="17" t="s">
        <v>259</v>
      </c>
      <c r="C121" s="17">
        <v>6.2087999999999997E-2</v>
      </c>
      <c r="D121" s="17">
        <v>-0.56684600329461188</v>
      </c>
      <c r="E121" t="str">
        <f t="shared" si="3"/>
        <v>Up to $10</v>
      </c>
      <c r="F121">
        <f t="shared" si="4"/>
        <v>6.2441949696232318E-2</v>
      </c>
      <c r="G121">
        <f t="shared" si="5"/>
        <v>-3.5394969623232103E-4</v>
      </c>
    </row>
    <row r="122" spans="1:7" x14ac:dyDescent="0.3">
      <c r="A122" s="20" t="s">
        <v>260</v>
      </c>
      <c r="B122" s="16" t="s">
        <v>261</v>
      </c>
      <c r="C122" s="16">
        <v>3.88</v>
      </c>
      <c r="D122" s="16">
        <v>4.6932999382679169E-2</v>
      </c>
      <c r="E122" t="str">
        <f t="shared" si="3"/>
        <v>Up to $10</v>
      </c>
      <c r="F122">
        <f t="shared" si="4"/>
        <v>3.8781798538731227</v>
      </c>
      <c r="G122">
        <f t="shared" si="5"/>
        <v>1.8201461268771979E-3</v>
      </c>
    </row>
    <row r="123" spans="1:7" x14ac:dyDescent="0.3">
      <c r="A123" s="21" t="s">
        <v>262</v>
      </c>
      <c r="B123" s="17" t="s">
        <v>263</v>
      </c>
      <c r="C123" s="17">
        <v>0.99956999999999996</v>
      </c>
      <c r="D123" s="17">
        <v>-2.2825705710728492E-2</v>
      </c>
      <c r="E123" t="str">
        <f t="shared" si="3"/>
        <v>Up to $10</v>
      </c>
      <c r="F123">
        <f t="shared" si="4"/>
        <v>0.99979821099734334</v>
      </c>
      <c r="G123">
        <f t="shared" si="5"/>
        <v>-2.2821099734338102E-4</v>
      </c>
    </row>
    <row r="124" spans="1:7" x14ac:dyDescent="0.3">
      <c r="A124" s="20" t="s">
        <v>264</v>
      </c>
      <c r="B124" s="16" t="s">
        <v>265</v>
      </c>
      <c r="C124" s="16">
        <v>0.42183399999999999</v>
      </c>
      <c r="D124" s="16">
        <v>-0.15854028913523016</v>
      </c>
      <c r="E124" t="str">
        <f t="shared" si="3"/>
        <v>Up to $10</v>
      </c>
      <c r="F124">
        <f t="shared" si="4"/>
        <v>0.42250383880765308</v>
      </c>
      <c r="G124">
        <f t="shared" si="5"/>
        <v>-6.6983880765308923E-4</v>
      </c>
    </row>
    <row r="125" spans="1:7" x14ac:dyDescent="0.3">
      <c r="A125" s="21" t="s">
        <v>266</v>
      </c>
      <c r="B125" s="17" t="s">
        <v>267</v>
      </c>
      <c r="C125" s="17">
        <v>2.0131980000000001E-2</v>
      </c>
      <c r="D125" s="17">
        <v>9.6325534298319124E-2</v>
      </c>
      <c r="E125" t="str">
        <f t="shared" si="3"/>
        <v>Up to $10</v>
      </c>
      <c r="F125">
        <f t="shared" si="4"/>
        <v>2.0112606424400378E-2</v>
      </c>
      <c r="G125">
        <f t="shared" si="5"/>
        <v>1.9373575599623133E-5</v>
      </c>
    </row>
    <row r="126" spans="1:7" x14ac:dyDescent="0.3">
      <c r="A126" s="20" t="s">
        <v>268</v>
      </c>
      <c r="B126" s="16" t="s">
        <v>269</v>
      </c>
      <c r="C126" s="16">
        <v>0.11056000000000001</v>
      </c>
      <c r="D126" s="16">
        <v>-1.1516376048372927</v>
      </c>
      <c r="E126" t="str">
        <f t="shared" si="3"/>
        <v>Up to $10</v>
      </c>
      <c r="F126">
        <f t="shared" si="4"/>
        <v>0.11184808460257348</v>
      </c>
      <c r="G126">
        <f t="shared" si="5"/>
        <v>-1.2880846025734721E-3</v>
      </c>
    </row>
    <row r="127" spans="1:7" x14ac:dyDescent="0.3">
      <c r="A127" s="21" t="s">
        <v>270</v>
      </c>
      <c r="B127" s="17" t="s">
        <v>271</v>
      </c>
      <c r="C127" s="17">
        <v>0.34807300000000002</v>
      </c>
      <c r="D127" s="17">
        <v>-5.5739572009547003E-2</v>
      </c>
      <c r="E127" t="str">
        <f t="shared" si="3"/>
        <v>Up to $10</v>
      </c>
      <c r="F127">
        <f t="shared" si="4"/>
        <v>0.34826712260358922</v>
      </c>
      <c r="G127">
        <f t="shared" si="5"/>
        <v>-1.9412260358919742E-4</v>
      </c>
    </row>
    <row r="128" spans="1:7" x14ac:dyDescent="0.3">
      <c r="A128" s="20" t="s">
        <v>272</v>
      </c>
      <c r="B128" s="16" t="s">
        <v>273</v>
      </c>
      <c r="C128" s="16">
        <v>0.99834400000000001</v>
      </c>
      <c r="D128" s="16">
        <v>3.1897769888207458E-2</v>
      </c>
      <c r="E128" t="str">
        <f t="shared" si="3"/>
        <v>Up to $10</v>
      </c>
      <c r="F128">
        <f t="shared" si="4"/>
        <v>0.99802565207407612</v>
      </c>
      <c r="G128">
        <f t="shared" si="5"/>
        <v>3.1834792592388972E-4</v>
      </c>
    </row>
    <row r="129" spans="1:7" x14ac:dyDescent="0.3">
      <c r="A129" s="21" t="s">
        <v>274</v>
      </c>
      <c r="B129" s="17" t="s">
        <v>275</v>
      </c>
      <c r="C129" s="17">
        <v>0.51069799999999999</v>
      </c>
      <c r="D129" s="17">
        <v>-0.83747680478302855</v>
      </c>
      <c r="E129" t="str">
        <f t="shared" si="3"/>
        <v>Up to $10</v>
      </c>
      <c r="F129">
        <f t="shared" si="4"/>
        <v>0.51501109849192817</v>
      </c>
      <c r="G129">
        <f t="shared" si="5"/>
        <v>-4.3130984919281801E-3</v>
      </c>
    </row>
    <row r="130" spans="1:7" x14ac:dyDescent="0.3">
      <c r="A130" s="20" t="s">
        <v>276</v>
      </c>
      <c r="B130" s="16" t="s">
        <v>277</v>
      </c>
      <c r="C130" s="16">
        <v>0.402478</v>
      </c>
      <c r="D130" s="16">
        <v>-1.0742652871668881</v>
      </c>
      <c r="E130" t="str">
        <f t="shared" si="3"/>
        <v>Up to $10</v>
      </c>
      <c r="F130">
        <f t="shared" si="4"/>
        <v>0.40684863364253454</v>
      </c>
      <c r="G130">
        <f t="shared" si="5"/>
        <v>-4.3706336425345382E-3</v>
      </c>
    </row>
    <row r="131" spans="1:7" x14ac:dyDescent="0.3">
      <c r="A131" s="21" t="s">
        <v>278</v>
      </c>
      <c r="B131" s="17" t="s">
        <v>279</v>
      </c>
      <c r="C131" s="17">
        <v>6.0499999999999997E-6</v>
      </c>
      <c r="D131" s="17">
        <v>-4.7070535088897936</v>
      </c>
      <c r="E131" t="str">
        <f t="shared" ref="E131:E194" si="6">IF(C131&lt;10,"Up to $10","&gt;= $10")</f>
        <v>Up to $10</v>
      </c>
      <c r="F131">
        <f t="shared" ref="F131:F194" si="7">C131/(1+(D131/100))</f>
        <v>6.3488434588014329E-6</v>
      </c>
      <c r="G131">
        <f t="shared" ref="G131:G194" si="8">C131-F131</f>
        <v>-2.9884345880143324E-7</v>
      </c>
    </row>
    <row r="132" spans="1:7" x14ac:dyDescent="0.3">
      <c r="A132" s="20" t="s">
        <v>280</v>
      </c>
      <c r="B132" s="16" t="s">
        <v>281</v>
      </c>
      <c r="C132" s="16">
        <v>0.38855800000000001</v>
      </c>
      <c r="D132" s="16">
        <v>-2.3028339129458826</v>
      </c>
      <c r="E132" t="str">
        <f t="shared" si="6"/>
        <v>Up to $10</v>
      </c>
      <c r="F132">
        <f t="shared" si="7"/>
        <v>0.39771675634252396</v>
      </c>
      <c r="G132">
        <f t="shared" si="8"/>
        <v>-9.1587563425239438E-3</v>
      </c>
    </row>
    <row r="133" spans="1:7" x14ac:dyDescent="0.3">
      <c r="A133" s="21" t="s">
        <v>282</v>
      </c>
      <c r="B133" s="17" t="s">
        <v>283</v>
      </c>
      <c r="C133" s="17">
        <v>0.23450799999999999</v>
      </c>
      <c r="D133" s="17">
        <v>-0.81519762586690392</v>
      </c>
      <c r="E133" t="str">
        <f t="shared" si="6"/>
        <v>Up to $10</v>
      </c>
      <c r="F133">
        <f t="shared" si="7"/>
        <v>0.23643541589710171</v>
      </c>
      <c r="G133">
        <f t="shared" si="8"/>
        <v>-1.9274158971017141E-3</v>
      </c>
    </row>
    <row r="134" spans="1:7" x14ac:dyDescent="0.3">
      <c r="A134" s="20" t="s">
        <v>284</v>
      </c>
      <c r="B134" s="16" t="s">
        <v>285</v>
      </c>
      <c r="C134" s="16">
        <v>1.42</v>
      </c>
      <c r="D134" s="16">
        <v>3.0246675251777844</v>
      </c>
      <c r="E134" t="str">
        <f t="shared" si="6"/>
        <v>Up to $10</v>
      </c>
      <c r="F134">
        <f t="shared" si="7"/>
        <v>1.3783106843348676</v>
      </c>
      <c r="G134">
        <f t="shared" si="8"/>
        <v>4.1689315665132343E-2</v>
      </c>
    </row>
    <row r="135" spans="1:7" x14ac:dyDescent="0.3">
      <c r="A135" s="21" t="s">
        <v>286</v>
      </c>
      <c r="B135" s="17" t="s">
        <v>287</v>
      </c>
      <c r="C135" s="17">
        <v>1.38</v>
      </c>
      <c r="D135" s="17">
        <v>-0.28837439042785062</v>
      </c>
      <c r="E135" t="str">
        <f t="shared" si="6"/>
        <v>Up to $10</v>
      </c>
      <c r="F135">
        <f t="shared" si="7"/>
        <v>1.3839910758284961</v>
      </c>
      <c r="G135">
        <f t="shared" si="8"/>
        <v>-3.9910758284962267E-3</v>
      </c>
    </row>
    <row r="136" spans="1:7" x14ac:dyDescent="0.3">
      <c r="A136" s="20" t="s">
        <v>288</v>
      </c>
      <c r="B136" s="16" t="s">
        <v>289</v>
      </c>
      <c r="C136" s="16">
        <v>144.13</v>
      </c>
      <c r="D136" s="16">
        <v>-2.8582104671558547E-3</v>
      </c>
      <c r="E136" t="str">
        <f t="shared" si="6"/>
        <v>&gt;= $10</v>
      </c>
      <c r="F136">
        <f t="shared" si="7"/>
        <v>144.13411965649476</v>
      </c>
      <c r="G136">
        <f t="shared" si="8"/>
        <v>-4.1196564947654224E-3</v>
      </c>
    </row>
    <row r="137" spans="1:7" x14ac:dyDescent="0.3">
      <c r="A137" s="21" t="s">
        <v>290</v>
      </c>
      <c r="B137" s="17" t="s">
        <v>291</v>
      </c>
      <c r="C137" s="17">
        <v>0.34193800000000002</v>
      </c>
      <c r="D137" s="17">
        <v>-0.58887890381040819</v>
      </c>
      <c r="E137" t="str">
        <f t="shared" si="6"/>
        <v>Up to $10</v>
      </c>
      <c r="F137">
        <f t="shared" si="7"/>
        <v>0.34396352865706331</v>
      </c>
      <c r="G137">
        <f t="shared" si="8"/>
        <v>-2.0255286570632913E-3</v>
      </c>
    </row>
    <row r="138" spans="1:7" x14ac:dyDescent="0.3">
      <c r="A138" s="20" t="s">
        <v>292</v>
      </c>
      <c r="B138" s="16" t="s">
        <v>293</v>
      </c>
      <c r="C138" s="16">
        <v>0.38308399999999998</v>
      </c>
      <c r="D138" s="16">
        <v>-0.57606204052743182</v>
      </c>
      <c r="E138" t="str">
        <f t="shared" si="6"/>
        <v>Up to $10</v>
      </c>
      <c r="F138">
        <f t="shared" si="7"/>
        <v>0.38530358770958523</v>
      </c>
      <c r="G138">
        <f t="shared" si="8"/>
        <v>-2.2195877095852468E-3</v>
      </c>
    </row>
    <row r="139" spans="1:7" x14ac:dyDescent="0.3">
      <c r="A139" s="21" t="s">
        <v>294</v>
      </c>
      <c r="B139" s="17" t="s">
        <v>295</v>
      </c>
      <c r="C139" s="17">
        <v>4.3899999999999997</v>
      </c>
      <c r="D139" s="17">
        <v>-2.8118704607825489E-2</v>
      </c>
      <c r="E139" t="str">
        <f t="shared" si="6"/>
        <v>Up to $10</v>
      </c>
      <c r="F139">
        <f t="shared" si="7"/>
        <v>4.3912347583303308</v>
      </c>
      <c r="G139">
        <f t="shared" si="8"/>
        <v>-1.2347583303311538E-3</v>
      </c>
    </row>
    <row r="140" spans="1:7" x14ac:dyDescent="0.3">
      <c r="A140" s="20" t="s">
        <v>296</v>
      </c>
      <c r="B140" s="16" t="s">
        <v>297</v>
      </c>
      <c r="C140" s="16">
        <v>0.99989499999999998</v>
      </c>
      <c r="D140" s="16">
        <v>1.4221386783271795E-2</v>
      </c>
      <c r="E140" t="str">
        <f t="shared" si="6"/>
        <v>Up to $10</v>
      </c>
      <c r="F140">
        <f t="shared" si="7"/>
        <v>0.99975282128440857</v>
      </c>
      <c r="G140">
        <f t="shared" si="8"/>
        <v>1.4217871559141226E-4</v>
      </c>
    </row>
    <row r="141" spans="1:7" x14ac:dyDescent="0.3">
      <c r="A141" s="21" t="s">
        <v>298</v>
      </c>
      <c r="B141" s="17" t="s">
        <v>299</v>
      </c>
      <c r="C141" s="17">
        <v>4.1979330000000002E-2</v>
      </c>
      <c r="D141" s="17">
        <v>-0.21228335426243777</v>
      </c>
      <c r="E141" t="str">
        <f t="shared" si="6"/>
        <v>Up to $10</v>
      </c>
      <c r="F141">
        <f t="shared" si="7"/>
        <v>4.2068634708852366E-2</v>
      </c>
      <c r="G141">
        <f t="shared" si="8"/>
        <v>-8.9304708852364079E-5</v>
      </c>
    </row>
    <row r="142" spans="1:7" x14ac:dyDescent="0.3">
      <c r="A142" s="20" t="s">
        <v>302</v>
      </c>
      <c r="B142" s="16" t="s">
        <v>303</v>
      </c>
      <c r="C142" s="16">
        <v>3.9454759999999998E-2</v>
      </c>
      <c r="D142" s="16">
        <v>-2.2418454740153838E-2</v>
      </c>
      <c r="E142" t="str">
        <f t="shared" si="6"/>
        <v>Up to $10</v>
      </c>
      <c r="F142">
        <f t="shared" si="7"/>
        <v>3.9463607130903473E-2</v>
      </c>
      <c r="G142">
        <f t="shared" si="8"/>
        <v>-8.8471309034748868E-6</v>
      </c>
    </row>
    <row r="143" spans="1:7" x14ac:dyDescent="0.3">
      <c r="A143" s="21" t="s">
        <v>300</v>
      </c>
      <c r="B143" s="17" t="s">
        <v>301</v>
      </c>
      <c r="C143" s="17">
        <v>2.7296379999999999E-2</v>
      </c>
      <c r="D143" s="17">
        <v>-1.1465244661153251</v>
      </c>
      <c r="E143" t="str">
        <f t="shared" si="6"/>
        <v>Up to $10</v>
      </c>
      <c r="F143">
        <f t="shared" si="7"/>
        <v>2.7612969450571755E-2</v>
      </c>
      <c r="G143">
        <f t="shared" si="8"/>
        <v>-3.1658945057175605E-4</v>
      </c>
    </row>
    <row r="144" spans="1:7" x14ac:dyDescent="0.3">
      <c r="A144" s="20" t="s">
        <v>304</v>
      </c>
      <c r="B144" s="16" t="s">
        <v>305</v>
      </c>
      <c r="C144" s="16">
        <v>3.2307699999999998E-7</v>
      </c>
      <c r="D144" s="16">
        <v>-0.14271893347297124</v>
      </c>
      <c r="E144" t="str">
        <f t="shared" si="6"/>
        <v>Up to $10</v>
      </c>
      <c r="F144">
        <f t="shared" si="7"/>
        <v>3.2353875105487727E-7</v>
      </c>
      <c r="G144">
        <f t="shared" si="8"/>
        <v>-4.6175105487729709E-10</v>
      </c>
    </row>
    <row r="145" spans="1:7" x14ac:dyDescent="0.3">
      <c r="A145" s="21" t="s">
        <v>306</v>
      </c>
      <c r="B145" s="17" t="s">
        <v>307</v>
      </c>
      <c r="C145" s="17">
        <v>1.84</v>
      </c>
      <c r="D145" s="17">
        <v>-1.0454899598452905</v>
      </c>
      <c r="E145" t="str">
        <f t="shared" si="6"/>
        <v>Up to $10</v>
      </c>
      <c r="F145">
        <f t="shared" si="7"/>
        <v>1.8594402612405916</v>
      </c>
      <c r="G145">
        <f t="shared" si="8"/>
        <v>-1.9440261240591505E-2</v>
      </c>
    </row>
    <row r="146" spans="1:7" x14ac:dyDescent="0.3">
      <c r="A146" s="20" t="s">
        <v>308</v>
      </c>
      <c r="B146" s="16" t="s">
        <v>309</v>
      </c>
      <c r="C146" s="16">
        <v>118.67</v>
      </c>
      <c r="D146" s="16">
        <v>-0.34598260317002993</v>
      </c>
      <c r="E146" t="str">
        <f t="shared" si="6"/>
        <v>&gt;= $10</v>
      </c>
      <c r="F146">
        <f t="shared" si="7"/>
        <v>119.08200301393462</v>
      </c>
      <c r="G146">
        <f t="shared" si="8"/>
        <v>-0.41200301393462269</v>
      </c>
    </row>
    <row r="147" spans="1:7" x14ac:dyDescent="0.3">
      <c r="A147" s="21" t="s">
        <v>310</v>
      </c>
      <c r="B147" s="17" t="s">
        <v>311</v>
      </c>
      <c r="C147" s="17">
        <v>5.2684000000000002E-2</v>
      </c>
      <c r="D147" s="17">
        <v>1.1304244275461957</v>
      </c>
      <c r="E147" t="str">
        <f t="shared" si="6"/>
        <v>Up to $10</v>
      </c>
      <c r="F147">
        <f t="shared" si="7"/>
        <v>5.209510421638236E-2</v>
      </c>
      <c r="G147">
        <f t="shared" si="8"/>
        <v>5.88895783617642E-4</v>
      </c>
    </row>
    <row r="148" spans="1:7" x14ac:dyDescent="0.3">
      <c r="A148" s="20" t="s">
        <v>312</v>
      </c>
      <c r="B148" s="16" t="s">
        <v>313</v>
      </c>
      <c r="C148" s="16">
        <v>1.0389999999999999</v>
      </c>
      <c r="D148" s="16">
        <v>3.6413312387483326E-2</v>
      </c>
      <c r="E148" t="str">
        <f t="shared" si="6"/>
        <v>Up to $10</v>
      </c>
      <c r="F148">
        <f t="shared" si="7"/>
        <v>1.038621803398204</v>
      </c>
      <c r="G148">
        <f t="shared" si="8"/>
        <v>3.7819660179594372E-4</v>
      </c>
    </row>
    <row r="149" spans="1:7" x14ac:dyDescent="0.3">
      <c r="A149" s="21" t="s">
        <v>314</v>
      </c>
      <c r="B149" s="17" t="s">
        <v>315</v>
      </c>
      <c r="C149" s="17">
        <v>0.358068</v>
      </c>
      <c r="D149" s="17">
        <v>-0.99276731782324401</v>
      </c>
      <c r="E149" t="str">
        <f t="shared" si="6"/>
        <v>Up to $10</v>
      </c>
      <c r="F149">
        <f t="shared" si="7"/>
        <v>0.36165842666205461</v>
      </c>
      <c r="G149">
        <f t="shared" si="8"/>
        <v>-3.5904266620546132E-3</v>
      </c>
    </row>
    <row r="150" spans="1:7" x14ac:dyDescent="0.3">
      <c r="A150" s="20" t="s">
        <v>316</v>
      </c>
      <c r="B150" s="16" t="s">
        <v>317</v>
      </c>
      <c r="C150" s="16">
        <v>17.489999999999998</v>
      </c>
      <c r="D150" s="16">
        <v>0.64918931790000312</v>
      </c>
      <c r="E150" t="str">
        <f t="shared" si="6"/>
        <v>&gt;= $10</v>
      </c>
      <c r="F150">
        <f t="shared" si="7"/>
        <v>17.377189144323768</v>
      </c>
      <c r="G150">
        <f t="shared" si="8"/>
        <v>0.11281085567622995</v>
      </c>
    </row>
    <row r="151" spans="1:7" x14ac:dyDescent="0.3">
      <c r="A151" s="21" t="s">
        <v>318</v>
      </c>
      <c r="B151" s="17" t="s">
        <v>319</v>
      </c>
      <c r="C151" s="17">
        <v>15.02</v>
      </c>
      <c r="D151" s="17">
        <v>-0.22060077502847475</v>
      </c>
      <c r="E151" t="str">
        <f t="shared" si="6"/>
        <v>&gt;= $10</v>
      </c>
      <c r="F151">
        <f t="shared" si="7"/>
        <v>15.053207492394868</v>
      </c>
      <c r="G151">
        <f t="shared" si="8"/>
        <v>-3.3207492394868865E-2</v>
      </c>
    </row>
    <row r="152" spans="1:7" x14ac:dyDescent="0.3">
      <c r="A152" s="20" t="s">
        <v>320</v>
      </c>
      <c r="B152" s="16" t="s">
        <v>321</v>
      </c>
      <c r="C152" s="16">
        <v>0.29928100000000002</v>
      </c>
      <c r="D152" s="16">
        <v>-2.5331040002473739</v>
      </c>
      <c r="E152" t="str">
        <f t="shared" si="6"/>
        <v>Up to $10</v>
      </c>
      <c r="F152">
        <f t="shared" si="7"/>
        <v>0.30705912702991961</v>
      </c>
      <c r="G152">
        <f t="shared" si="8"/>
        <v>-7.7781270299195904E-3</v>
      </c>
    </row>
    <row r="153" spans="1:7" x14ac:dyDescent="0.3">
      <c r="A153" s="21" t="s">
        <v>324</v>
      </c>
      <c r="B153" s="17" t="s">
        <v>325</v>
      </c>
      <c r="C153" s="17">
        <v>5.7339000000000001E-2</v>
      </c>
      <c r="D153" s="17">
        <v>-0.62099615639521411</v>
      </c>
      <c r="E153" t="str">
        <f t="shared" si="6"/>
        <v>Up to $10</v>
      </c>
      <c r="F153">
        <f t="shared" si="7"/>
        <v>5.7697298002942168E-2</v>
      </c>
      <c r="G153">
        <f t="shared" si="8"/>
        <v>-3.5829800294216729E-4</v>
      </c>
    </row>
    <row r="154" spans="1:7" x14ac:dyDescent="0.3">
      <c r="A154" s="20" t="s">
        <v>322</v>
      </c>
      <c r="B154" s="16" t="s">
        <v>323</v>
      </c>
      <c r="C154" s="16">
        <v>3.0936399999999999E-3</v>
      </c>
      <c r="D154" s="16">
        <v>-1.566869469016164</v>
      </c>
      <c r="E154" t="str">
        <f t="shared" si="6"/>
        <v>Up to $10</v>
      </c>
      <c r="F154">
        <f t="shared" si="7"/>
        <v>3.1428849040072066E-3</v>
      </c>
      <c r="G154">
        <f t="shared" si="8"/>
        <v>-4.9244904007206703E-5</v>
      </c>
    </row>
    <row r="155" spans="1:7" x14ac:dyDescent="0.3">
      <c r="A155" s="21" t="s">
        <v>326</v>
      </c>
      <c r="B155" s="17" t="s">
        <v>327</v>
      </c>
      <c r="C155" s="17">
        <v>3.0530000000000001E-5</v>
      </c>
      <c r="D155" s="17">
        <v>-0.87382045024721045</v>
      </c>
      <c r="E155" t="str">
        <f t="shared" si="6"/>
        <v>Up to $10</v>
      </c>
      <c r="F155">
        <f t="shared" si="7"/>
        <v>3.0799129088473114E-5</v>
      </c>
      <c r="G155">
        <f t="shared" si="8"/>
        <v>-2.6912908847311295E-7</v>
      </c>
    </row>
    <row r="156" spans="1:7" x14ac:dyDescent="0.3">
      <c r="A156" s="20" t="s">
        <v>328</v>
      </c>
      <c r="B156" s="16" t="s">
        <v>329</v>
      </c>
      <c r="C156" s="16">
        <v>3.0067100000000001E-3</v>
      </c>
      <c r="D156" s="16">
        <v>-0.76295536920603702</v>
      </c>
      <c r="E156" t="str">
        <f t="shared" si="6"/>
        <v>Up to $10</v>
      </c>
      <c r="F156">
        <f t="shared" si="7"/>
        <v>3.0298262218371188E-3</v>
      </c>
      <c r="G156">
        <f t="shared" si="8"/>
        <v>-2.3116221837118662E-5</v>
      </c>
    </row>
    <row r="157" spans="1:7" x14ac:dyDescent="0.3">
      <c r="A157" s="21" t="s">
        <v>330</v>
      </c>
      <c r="B157" s="17" t="s">
        <v>331</v>
      </c>
      <c r="C157" s="17">
        <v>1.0009999999999999</v>
      </c>
      <c r="D157" s="17">
        <v>0.21034617415088672</v>
      </c>
      <c r="E157" t="str">
        <f t="shared" si="6"/>
        <v>Up to $10</v>
      </c>
      <c r="F157">
        <f t="shared" si="7"/>
        <v>0.99889885447597271</v>
      </c>
      <c r="G157">
        <f t="shared" si="8"/>
        <v>2.1011455240271815E-3</v>
      </c>
    </row>
    <row r="158" spans="1:7" x14ac:dyDescent="0.3">
      <c r="A158" s="20" t="s">
        <v>332</v>
      </c>
      <c r="B158" s="16" t="s">
        <v>333</v>
      </c>
      <c r="C158" s="16">
        <v>5.7455800000000001E-3</v>
      </c>
      <c r="D158" s="16">
        <v>0.51490637960545893</v>
      </c>
      <c r="E158" t="str">
        <f t="shared" si="6"/>
        <v>Up to $10</v>
      </c>
      <c r="F158">
        <f t="shared" si="7"/>
        <v>5.7161471934333739E-3</v>
      </c>
      <c r="G158">
        <f t="shared" si="8"/>
        <v>2.9432806566626231E-5</v>
      </c>
    </row>
    <row r="159" spans="1:7" x14ac:dyDescent="0.3">
      <c r="A159" s="21" t="s">
        <v>334</v>
      </c>
      <c r="B159" s="17" t="s">
        <v>335</v>
      </c>
      <c r="C159" s="17">
        <v>18.95</v>
      </c>
      <c r="D159" s="17">
        <v>-0.3268767367031214</v>
      </c>
      <c r="E159" t="str">
        <f t="shared" si="6"/>
        <v>&gt;= $10</v>
      </c>
      <c r="F159">
        <f t="shared" si="7"/>
        <v>19.01214628334823</v>
      </c>
      <c r="G159">
        <f t="shared" si="8"/>
        <v>-6.2146283348230469E-2</v>
      </c>
    </row>
    <row r="160" spans="1:7" x14ac:dyDescent="0.3">
      <c r="A160" s="20" t="s">
        <v>336</v>
      </c>
      <c r="B160" s="16" t="s">
        <v>337</v>
      </c>
      <c r="C160" s="16">
        <v>75.13</v>
      </c>
      <c r="D160" s="16">
        <v>0.10604256576576972</v>
      </c>
      <c r="E160" t="str">
        <f t="shared" si="6"/>
        <v>&gt;= $10</v>
      </c>
      <c r="F160">
        <f t="shared" si="7"/>
        <v>75.050414614724701</v>
      </c>
      <c r="G160">
        <f t="shared" si="8"/>
        <v>7.9585385275294129E-2</v>
      </c>
    </row>
    <row r="161" spans="1:7" x14ac:dyDescent="0.3">
      <c r="A161" s="21" t="s">
        <v>338</v>
      </c>
      <c r="B161" s="17" t="s">
        <v>339</v>
      </c>
      <c r="C161" s="17">
        <v>2.8398599999999999E-7</v>
      </c>
      <c r="D161" s="17">
        <v>-1.1642310509314393</v>
      </c>
      <c r="E161" t="str">
        <f t="shared" si="6"/>
        <v>Up to $10</v>
      </c>
      <c r="F161">
        <f t="shared" si="7"/>
        <v>2.8733119903821651E-7</v>
      </c>
      <c r="G161">
        <f t="shared" si="8"/>
        <v>-3.3451990382165269E-9</v>
      </c>
    </row>
    <row r="162" spans="1:7" x14ac:dyDescent="0.3">
      <c r="A162" s="20" t="s">
        <v>340</v>
      </c>
      <c r="B162" s="16" t="s">
        <v>341</v>
      </c>
      <c r="C162" s="16">
        <v>4.4382959999999999E-2</v>
      </c>
      <c r="D162" s="16">
        <v>0.20048364614252021</v>
      </c>
      <c r="E162" t="str">
        <f t="shared" si="6"/>
        <v>Up to $10</v>
      </c>
      <c r="F162">
        <f t="shared" si="7"/>
        <v>4.4294157458099892E-2</v>
      </c>
      <c r="G162">
        <f t="shared" si="8"/>
        <v>8.8802541900107057E-5</v>
      </c>
    </row>
    <row r="163" spans="1:7" x14ac:dyDescent="0.3">
      <c r="A163" s="21" t="s">
        <v>342</v>
      </c>
      <c r="B163" s="17" t="s">
        <v>343</v>
      </c>
      <c r="C163" s="17">
        <v>0.129576</v>
      </c>
      <c r="D163" s="17">
        <v>-0.4436143850960757</v>
      </c>
      <c r="E163" t="str">
        <f t="shared" si="6"/>
        <v>Up to $10</v>
      </c>
      <c r="F163">
        <f t="shared" si="7"/>
        <v>0.13015337911243138</v>
      </c>
      <c r="G163">
        <f t="shared" si="8"/>
        <v>-5.7737911243138651E-4</v>
      </c>
    </row>
    <row r="164" spans="1:7" x14ac:dyDescent="0.3">
      <c r="A164" s="20" t="s">
        <v>344</v>
      </c>
      <c r="B164" s="16" t="s">
        <v>345</v>
      </c>
      <c r="C164" s="16">
        <v>2.54243E-2</v>
      </c>
      <c r="D164" s="16">
        <v>-0.91393210402664038</v>
      </c>
      <c r="E164" t="str">
        <f t="shared" si="6"/>
        <v>Up to $10</v>
      </c>
      <c r="F164">
        <f t="shared" si="7"/>
        <v>2.5658804047701229E-2</v>
      </c>
      <c r="G164">
        <f t="shared" si="8"/>
        <v>-2.3450404770122835E-4</v>
      </c>
    </row>
    <row r="165" spans="1:7" x14ac:dyDescent="0.3">
      <c r="A165" s="21" t="s">
        <v>346</v>
      </c>
      <c r="B165" s="17" t="s">
        <v>347</v>
      </c>
      <c r="C165" s="17">
        <v>0.99280000000000002</v>
      </c>
      <c r="D165" s="17">
        <v>-3.0696287601369623E-2</v>
      </c>
      <c r="E165" t="str">
        <f t="shared" si="6"/>
        <v>Up to $10</v>
      </c>
      <c r="F165">
        <f t="shared" si="7"/>
        <v>0.99310484631980955</v>
      </c>
      <c r="G165">
        <f t="shared" si="8"/>
        <v>-3.0484631980953747E-4</v>
      </c>
    </row>
    <row r="166" spans="1:7" x14ac:dyDescent="0.3">
      <c r="A166" s="20" t="s">
        <v>348</v>
      </c>
      <c r="B166" s="16" t="s">
        <v>349</v>
      </c>
      <c r="C166" s="16">
        <v>0.124293</v>
      </c>
      <c r="D166" s="16">
        <v>-0.66415224522006822</v>
      </c>
      <c r="E166" t="str">
        <f t="shared" si="6"/>
        <v>Up to $10</v>
      </c>
      <c r="F166">
        <f t="shared" si="7"/>
        <v>0.12512401394794476</v>
      </c>
      <c r="G166">
        <f t="shared" si="8"/>
        <v>-8.3101394794475592E-4</v>
      </c>
    </row>
    <row r="167" spans="1:7" x14ac:dyDescent="0.3">
      <c r="A167" s="21" t="s">
        <v>352</v>
      </c>
      <c r="B167" s="17" t="s">
        <v>353</v>
      </c>
      <c r="C167" s="17">
        <v>6.31</v>
      </c>
      <c r="D167" s="17">
        <v>-0.40392273980911308</v>
      </c>
      <c r="E167" t="str">
        <f t="shared" si="6"/>
        <v>Up to $10</v>
      </c>
      <c r="F167">
        <f t="shared" si="7"/>
        <v>6.3355908923153361</v>
      </c>
      <c r="G167">
        <f t="shared" si="8"/>
        <v>-2.5590892315336511E-2</v>
      </c>
    </row>
    <row r="168" spans="1:7" x14ac:dyDescent="0.3">
      <c r="A168" s="20" t="s">
        <v>350</v>
      </c>
      <c r="B168" s="16" t="s">
        <v>351</v>
      </c>
      <c r="C168" s="16">
        <v>0.101539</v>
      </c>
      <c r="D168" s="16">
        <v>-2.2438954959968607</v>
      </c>
      <c r="E168" t="str">
        <f t="shared" si="6"/>
        <v>Up to $10</v>
      </c>
      <c r="F168">
        <f t="shared" si="7"/>
        <v>0.10386972815170019</v>
      </c>
      <c r="G168">
        <f t="shared" si="8"/>
        <v>-2.3307281517001843E-3</v>
      </c>
    </row>
    <row r="169" spans="1:7" x14ac:dyDescent="0.3">
      <c r="A169" s="21" t="s">
        <v>354</v>
      </c>
      <c r="B169" s="17" t="s">
        <v>355</v>
      </c>
      <c r="C169" s="17">
        <v>5.6327000000000002E-2</v>
      </c>
      <c r="D169" s="17">
        <v>-0.43209859983376631</v>
      </c>
      <c r="E169" t="str">
        <f t="shared" si="6"/>
        <v>Up to $10</v>
      </c>
      <c r="F169">
        <f t="shared" si="7"/>
        <v>5.6571444419241279E-2</v>
      </c>
      <c r="G169">
        <f t="shared" si="8"/>
        <v>-2.4444441924127702E-4</v>
      </c>
    </row>
    <row r="170" spans="1:7" x14ac:dyDescent="0.3">
      <c r="A170" s="20" t="s">
        <v>356</v>
      </c>
      <c r="B170" s="16" t="s">
        <v>357</v>
      </c>
      <c r="C170" s="16">
        <v>0.99952300000000005</v>
      </c>
      <c r="D170" s="16">
        <v>-2.481104511874424E-2</v>
      </c>
      <c r="E170" t="str">
        <f t="shared" si="6"/>
        <v>Up to $10</v>
      </c>
      <c r="F170">
        <f t="shared" si="7"/>
        <v>0.99977105364720464</v>
      </c>
      <c r="G170">
        <f t="shared" si="8"/>
        <v>-2.4805364720459355E-4</v>
      </c>
    </row>
    <row r="171" spans="1:7" x14ac:dyDescent="0.3">
      <c r="A171" s="21" t="s">
        <v>358</v>
      </c>
      <c r="B171" s="17" t="s">
        <v>359</v>
      </c>
      <c r="C171" s="17">
        <v>0.99802999999999997</v>
      </c>
      <c r="D171" s="17">
        <v>-0.12642839999330224</v>
      </c>
      <c r="E171" t="str">
        <f t="shared" si="6"/>
        <v>Up to $10</v>
      </c>
      <c r="F171">
        <f t="shared" si="7"/>
        <v>0.99929339064503131</v>
      </c>
      <c r="G171">
        <f t="shared" si="8"/>
        <v>-1.263390645031337E-3</v>
      </c>
    </row>
    <row r="172" spans="1:7" x14ac:dyDescent="0.3">
      <c r="A172" s="20" t="s">
        <v>360</v>
      </c>
      <c r="B172" s="16" t="s">
        <v>361</v>
      </c>
      <c r="C172" s="16">
        <v>1.1400000000000001E-6</v>
      </c>
      <c r="D172" s="16">
        <v>-0.26114304249148512</v>
      </c>
      <c r="E172" t="str">
        <f t="shared" si="6"/>
        <v>Up to $10</v>
      </c>
      <c r="F172">
        <f t="shared" si="7"/>
        <v>1.1429848253481301E-6</v>
      </c>
      <c r="G172">
        <f t="shared" si="8"/>
        <v>-2.9848253481300355E-9</v>
      </c>
    </row>
    <row r="173" spans="1:7" x14ac:dyDescent="0.3">
      <c r="A173" s="21" t="s">
        <v>362</v>
      </c>
      <c r="B173" s="17" t="s">
        <v>363</v>
      </c>
      <c r="C173" s="17">
        <v>0.49956499999999998</v>
      </c>
      <c r="D173" s="17">
        <v>-2.6858335023109459</v>
      </c>
      <c r="E173" t="str">
        <f t="shared" si="6"/>
        <v>Up to $10</v>
      </c>
      <c r="F173">
        <f t="shared" si="7"/>
        <v>0.51335280152850438</v>
      </c>
      <c r="G173">
        <f t="shared" si="8"/>
        <v>-1.3787801528504395E-2</v>
      </c>
    </row>
    <row r="174" spans="1:7" x14ac:dyDescent="0.3">
      <c r="A174" s="20" t="s">
        <v>364</v>
      </c>
      <c r="B174" s="16" t="s">
        <v>365</v>
      </c>
      <c r="C174" s="16">
        <v>0.20146600000000001</v>
      </c>
      <c r="D174" s="16">
        <v>0.89722200769105975</v>
      </c>
      <c r="E174" t="str">
        <f t="shared" si="6"/>
        <v>Up to $10</v>
      </c>
      <c r="F174">
        <f t="shared" si="7"/>
        <v>0.19967447665173865</v>
      </c>
      <c r="G174">
        <f t="shared" si="8"/>
        <v>1.7915233482613535E-3</v>
      </c>
    </row>
    <row r="175" spans="1:7" x14ac:dyDescent="0.3">
      <c r="A175" s="21" t="s">
        <v>366</v>
      </c>
      <c r="B175" s="17" t="s">
        <v>367</v>
      </c>
      <c r="C175" s="17">
        <v>7.1777999999999995E-2</v>
      </c>
      <c r="D175" s="17">
        <v>-0.30284271484074793</v>
      </c>
      <c r="E175" t="str">
        <f t="shared" si="6"/>
        <v>Up to $10</v>
      </c>
      <c r="F175">
        <f t="shared" si="7"/>
        <v>7.1996034746203086E-2</v>
      </c>
      <c r="G175">
        <f t="shared" si="8"/>
        <v>-2.1803474620309127E-4</v>
      </c>
    </row>
    <row r="176" spans="1:7" x14ac:dyDescent="0.3">
      <c r="A176" s="20" t="s">
        <v>368</v>
      </c>
      <c r="B176" s="16" t="s">
        <v>369</v>
      </c>
      <c r="C176" s="16">
        <v>0.77480099999999996</v>
      </c>
      <c r="D176" s="16">
        <v>-1.024241013953004</v>
      </c>
      <c r="E176" t="str">
        <f t="shared" si="6"/>
        <v>Up to $10</v>
      </c>
      <c r="F176">
        <f t="shared" si="7"/>
        <v>0.78281895277936364</v>
      </c>
      <c r="G176">
        <f t="shared" si="8"/>
        <v>-8.0179527793636796E-3</v>
      </c>
    </row>
    <row r="177" spans="1:7" x14ac:dyDescent="0.3">
      <c r="A177" s="21" t="s">
        <v>370</v>
      </c>
      <c r="B177" s="17" t="s">
        <v>371</v>
      </c>
      <c r="C177" s="17">
        <v>0.99920299999999995</v>
      </c>
      <c r="D177" s="17">
        <v>-2.853099403055992E-2</v>
      </c>
      <c r="E177" t="str">
        <f t="shared" si="6"/>
        <v>Up to $10</v>
      </c>
      <c r="F177">
        <f t="shared" si="7"/>
        <v>0.9994881639083808</v>
      </c>
      <c r="G177">
        <f t="shared" si="8"/>
        <v>-2.8516390838084771E-4</v>
      </c>
    </row>
    <row r="178" spans="1:7" x14ac:dyDescent="0.3">
      <c r="A178" s="20" t="s">
        <v>372</v>
      </c>
      <c r="B178" s="16" t="s">
        <v>373</v>
      </c>
      <c r="C178" s="16">
        <v>22.65</v>
      </c>
      <c r="D178" s="16">
        <v>-0.99654263582428237</v>
      </c>
      <c r="E178" t="str">
        <f t="shared" si="6"/>
        <v>&gt;= $10</v>
      </c>
      <c r="F178">
        <f t="shared" si="7"/>
        <v>22.877988913744616</v>
      </c>
      <c r="G178">
        <f t="shared" si="8"/>
        <v>-0.22798891374461761</v>
      </c>
    </row>
    <row r="179" spans="1:7" x14ac:dyDescent="0.3">
      <c r="A179" s="21" t="s">
        <v>374</v>
      </c>
      <c r="B179" s="17" t="s">
        <v>375</v>
      </c>
      <c r="C179" s="17">
        <v>8.7041999999999994E-2</v>
      </c>
      <c r="D179" s="17">
        <v>-0.47675133310394902</v>
      </c>
      <c r="E179" t="str">
        <f t="shared" si="6"/>
        <v>Up to $10</v>
      </c>
      <c r="F179">
        <f t="shared" si="7"/>
        <v>8.7458961766138932E-2</v>
      </c>
      <c r="G179">
        <f t="shared" si="8"/>
        <v>-4.1696176613893743E-4</v>
      </c>
    </row>
    <row r="180" spans="1:7" x14ac:dyDescent="0.3">
      <c r="A180" s="20" t="s">
        <v>376</v>
      </c>
      <c r="B180" s="16" t="s">
        <v>377</v>
      </c>
      <c r="C180" s="16">
        <v>0.98303700000000005</v>
      </c>
      <c r="D180" s="16"/>
      <c r="E180" t="str">
        <f t="shared" si="6"/>
        <v>Up to $10</v>
      </c>
      <c r="F180">
        <f t="shared" si="7"/>
        <v>0.98303700000000005</v>
      </c>
      <c r="G180">
        <f t="shared" si="8"/>
        <v>0</v>
      </c>
    </row>
    <row r="181" spans="1:7" x14ac:dyDescent="0.3">
      <c r="A181" s="21" t="s">
        <v>378</v>
      </c>
      <c r="B181" s="17" t="s">
        <v>379</v>
      </c>
      <c r="C181" s="17">
        <v>9.035E-2</v>
      </c>
      <c r="D181" s="17">
        <v>-8.1519674093067152E-2</v>
      </c>
      <c r="E181" t="str">
        <f t="shared" si="6"/>
        <v>Up to $10</v>
      </c>
      <c r="F181">
        <f t="shared" si="7"/>
        <v>9.0423713116235205E-2</v>
      </c>
      <c r="G181">
        <f t="shared" si="8"/>
        <v>-7.3713116235205045E-5</v>
      </c>
    </row>
    <row r="182" spans="1:7" x14ac:dyDescent="0.3">
      <c r="A182" s="20" t="s">
        <v>380</v>
      </c>
      <c r="B182" s="16" t="s">
        <v>381</v>
      </c>
      <c r="C182" s="16">
        <v>1.2</v>
      </c>
      <c r="D182" s="16">
        <v>-0.42772206487220499</v>
      </c>
      <c r="E182" t="str">
        <f t="shared" si="6"/>
        <v>Up to $10</v>
      </c>
      <c r="F182">
        <f t="shared" si="7"/>
        <v>1.2051547126217304</v>
      </c>
      <c r="G182">
        <f t="shared" si="8"/>
        <v>-5.1547126217303951E-3</v>
      </c>
    </row>
    <row r="183" spans="1:7" x14ac:dyDescent="0.3">
      <c r="A183" s="21" t="s">
        <v>384</v>
      </c>
      <c r="B183" s="17" t="s">
        <v>385</v>
      </c>
      <c r="C183" s="17">
        <v>0.93042400000000003</v>
      </c>
      <c r="D183" s="17">
        <v>-0.79547780202328666</v>
      </c>
      <c r="E183" t="str">
        <f t="shared" si="6"/>
        <v>Up to $10</v>
      </c>
      <c r="F183">
        <f t="shared" si="7"/>
        <v>0.93788466431319217</v>
      </c>
      <c r="G183">
        <f t="shared" si="8"/>
        <v>-7.4606643131921446E-3</v>
      </c>
    </row>
    <row r="184" spans="1:7" x14ac:dyDescent="0.3">
      <c r="A184" s="20" t="s">
        <v>382</v>
      </c>
      <c r="B184" s="16" t="s">
        <v>383</v>
      </c>
      <c r="C184" s="16">
        <v>0.76845799999999997</v>
      </c>
      <c r="D184" s="16">
        <v>-0.90660798781897445</v>
      </c>
      <c r="E184" t="str">
        <f t="shared" si="6"/>
        <v>Up to $10</v>
      </c>
      <c r="F184">
        <f t="shared" si="7"/>
        <v>0.7754886419727538</v>
      </c>
      <c r="G184">
        <f t="shared" si="8"/>
        <v>-7.0306419727538261E-3</v>
      </c>
    </row>
    <row r="185" spans="1:7" x14ac:dyDescent="0.3">
      <c r="A185" s="21" t="s">
        <v>390</v>
      </c>
      <c r="B185" s="17" t="s">
        <v>391</v>
      </c>
      <c r="C185" s="17">
        <v>2.89</v>
      </c>
      <c r="D185" s="17">
        <v>-0.16260815431483883</v>
      </c>
      <c r="E185" t="str">
        <f t="shared" si="6"/>
        <v>Up to $10</v>
      </c>
      <c r="F185">
        <f t="shared" si="7"/>
        <v>2.8947070296737745</v>
      </c>
      <c r="G185">
        <f t="shared" si="8"/>
        <v>-4.7070296737743433E-3</v>
      </c>
    </row>
    <row r="186" spans="1:7" x14ac:dyDescent="0.3">
      <c r="A186" s="20" t="s">
        <v>386</v>
      </c>
      <c r="B186" s="16" t="s">
        <v>387</v>
      </c>
      <c r="C186" s="16">
        <v>0.34782600000000002</v>
      </c>
      <c r="D186" s="16">
        <v>-0.5038008278453715</v>
      </c>
      <c r="E186" t="str">
        <f t="shared" si="6"/>
        <v>Up to $10</v>
      </c>
      <c r="F186">
        <f t="shared" si="7"/>
        <v>0.3495872233251538</v>
      </c>
      <c r="G186">
        <f t="shared" si="8"/>
        <v>-1.7612233251537712E-3</v>
      </c>
    </row>
    <row r="187" spans="1:7" x14ac:dyDescent="0.3">
      <c r="A187" s="21" t="s">
        <v>388</v>
      </c>
      <c r="B187" s="17" t="s">
        <v>389</v>
      </c>
      <c r="C187" s="17">
        <v>0.203241</v>
      </c>
      <c r="D187" s="17">
        <v>-0.87453888258106072</v>
      </c>
      <c r="E187" t="str">
        <f t="shared" si="6"/>
        <v>Up to $10</v>
      </c>
      <c r="F187">
        <f t="shared" si="7"/>
        <v>0.20503410295287419</v>
      </c>
      <c r="G187">
        <f t="shared" si="8"/>
        <v>-1.7931029528741871E-3</v>
      </c>
    </row>
    <row r="188" spans="1:7" ht="28.8" x14ac:dyDescent="0.3">
      <c r="A188" s="20" t="s">
        <v>392</v>
      </c>
      <c r="B188" s="16" t="s">
        <v>393</v>
      </c>
      <c r="C188" s="16">
        <v>1</v>
      </c>
      <c r="D188" s="16">
        <v>0</v>
      </c>
      <c r="E188" t="str">
        <f t="shared" si="6"/>
        <v>Up to $10</v>
      </c>
      <c r="F188">
        <f t="shared" si="7"/>
        <v>1</v>
      </c>
      <c r="G188">
        <f t="shared" si="8"/>
        <v>0</v>
      </c>
    </row>
    <row r="189" spans="1:7" x14ac:dyDescent="0.3">
      <c r="A189" s="21" t="s">
        <v>394</v>
      </c>
      <c r="B189" s="17" t="s">
        <v>395</v>
      </c>
      <c r="C189" s="17">
        <v>0.74696399999999996</v>
      </c>
      <c r="D189" s="17">
        <v>0.57632346678547186</v>
      </c>
      <c r="E189" t="str">
        <f t="shared" si="6"/>
        <v>Up to $10</v>
      </c>
      <c r="F189">
        <f t="shared" si="7"/>
        <v>0.74268373932626286</v>
      </c>
      <c r="G189">
        <f t="shared" si="8"/>
        <v>4.2802606737371018E-3</v>
      </c>
    </row>
    <row r="190" spans="1:7" x14ac:dyDescent="0.3">
      <c r="A190" s="20" t="s">
        <v>404</v>
      </c>
      <c r="B190" s="16" t="s">
        <v>405</v>
      </c>
      <c r="C190" s="16">
        <v>8.1731999999999999E-2</v>
      </c>
      <c r="D190" s="16">
        <v>2.053190169349949</v>
      </c>
      <c r="E190" t="str">
        <f t="shared" si="6"/>
        <v>Up to $10</v>
      </c>
      <c r="F190">
        <f t="shared" si="7"/>
        <v>8.0087648278678605E-2</v>
      </c>
      <c r="G190">
        <f t="shared" si="8"/>
        <v>1.6443517213213937E-3</v>
      </c>
    </row>
    <row r="191" spans="1:7" x14ac:dyDescent="0.3">
      <c r="A191" s="21" t="s">
        <v>396</v>
      </c>
      <c r="B191" s="17" t="s">
        <v>397</v>
      </c>
      <c r="C191" s="17">
        <v>0.19622300000000001</v>
      </c>
      <c r="D191" s="17">
        <v>-0.53044355158678147</v>
      </c>
      <c r="E191" t="str">
        <f t="shared" si="6"/>
        <v>Up to $10</v>
      </c>
      <c r="F191">
        <f t="shared" si="7"/>
        <v>0.19726940282654717</v>
      </c>
      <c r="G191">
        <f t="shared" si="8"/>
        <v>-1.0464028265471659E-3</v>
      </c>
    </row>
    <row r="192" spans="1:7" x14ac:dyDescent="0.3">
      <c r="A192" s="20" t="s">
        <v>398</v>
      </c>
      <c r="B192" s="16" t="s">
        <v>399</v>
      </c>
      <c r="C192" s="16">
        <v>0.439969</v>
      </c>
      <c r="D192" s="16">
        <v>-3.6650378254042031</v>
      </c>
      <c r="E192" t="str">
        <f t="shared" si="6"/>
        <v>Up to $10</v>
      </c>
      <c r="F192">
        <f t="shared" si="7"/>
        <v>0.45670750272638078</v>
      </c>
      <c r="G192">
        <f t="shared" si="8"/>
        <v>-1.6738502726380777E-2</v>
      </c>
    </row>
    <row r="193" spans="1:7" x14ac:dyDescent="0.3">
      <c r="A193" s="21" t="s">
        <v>402</v>
      </c>
      <c r="B193" s="17" t="s">
        <v>403</v>
      </c>
      <c r="C193" s="17">
        <v>7.2418999999999997E-2</v>
      </c>
      <c r="D193" s="17">
        <v>-0.38325574458021366</v>
      </c>
      <c r="E193" t="str">
        <f t="shared" si="6"/>
        <v>Up to $10</v>
      </c>
      <c r="F193">
        <f t="shared" si="7"/>
        <v>7.2697617796377581E-2</v>
      </c>
      <c r="G193">
        <f t="shared" si="8"/>
        <v>-2.7861779637758377E-4</v>
      </c>
    </row>
    <row r="194" spans="1:7" x14ac:dyDescent="0.3">
      <c r="A194" s="20" t="s">
        <v>400</v>
      </c>
      <c r="B194" s="16" t="s">
        <v>401</v>
      </c>
      <c r="C194" s="16">
        <v>0.46341100000000002</v>
      </c>
      <c r="D194" s="16">
        <v>-1.0515680697051739</v>
      </c>
      <c r="E194" t="str">
        <f t="shared" si="6"/>
        <v>Up to $10</v>
      </c>
      <c r="F194">
        <f t="shared" si="7"/>
        <v>0.46833587047286851</v>
      </c>
      <c r="G194">
        <f t="shared" si="8"/>
        <v>-4.9248704728684922E-3</v>
      </c>
    </row>
    <row r="195" spans="1:7" x14ac:dyDescent="0.3">
      <c r="A195" s="21" t="s">
        <v>406</v>
      </c>
      <c r="B195" s="17" t="s">
        <v>407</v>
      </c>
      <c r="C195" s="17">
        <v>0.19168399999999999</v>
      </c>
      <c r="D195" s="17">
        <v>-1.0280060505233499</v>
      </c>
      <c r="E195" t="str">
        <f t="shared" ref="E195:E201" si="9">IF(C195&lt;10,"Up to $10","&gt;= $10")</f>
        <v>Up to $10</v>
      </c>
      <c r="F195">
        <f t="shared" ref="F195:F201" si="10">C195/(1+(D195/100))</f>
        <v>0.1936749906219441</v>
      </c>
      <c r="G195">
        <f t="shared" ref="G195:G201" si="11">C195-F195</f>
        <v>-1.9909906219441054E-3</v>
      </c>
    </row>
    <row r="196" spans="1:7" x14ac:dyDescent="0.3">
      <c r="A196" s="20" t="s">
        <v>408</v>
      </c>
      <c r="B196" s="16" t="s">
        <v>409</v>
      </c>
      <c r="C196" s="16">
        <v>1.51</v>
      </c>
      <c r="D196" s="16">
        <v>-7.0580783258457416E-2</v>
      </c>
      <c r="E196" t="str">
        <f t="shared" si="9"/>
        <v>Up to $10</v>
      </c>
      <c r="F196">
        <f t="shared" si="10"/>
        <v>1.5110665225871984</v>
      </c>
      <c r="G196">
        <f t="shared" si="11"/>
        <v>-1.0665225871984152E-3</v>
      </c>
    </row>
    <row r="197" spans="1:7" x14ac:dyDescent="0.3">
      <c r="A197" s="21" t="s">
        <v>410</v>
      </c>
      <c r="B197" s="17" t="s">
        <v>411</v>
      </c>
      <c r="C197" s="17">
        <v>1.1499999999999999</v>
      </c>
      <c r="D197" s="17">
        <v>-0.48562761328483611</v>
      </c>
      <c r="E197" t="str">
        <f t="shared" si="9"/>
        <v>Up to $10</v>
      </c>
      <c r="F197">
        <f t="shared" si="10"/>
        <v>1.155611970832789</v>
      </c>
      <c r="G197">
        <f t="shared" si="11"/>
        <v>-5.6119708327890816E-3</v>
      </c>
    </row>
    <row r="198" spans="1:7" x14ac:dyDescent="0.3">
      <c r="A198" s="20" t="s">
        <v>412</v>
      </c>
      <c r="B198" s="16" t="s">
        <v>413</v>
      </c>
      <c r="C198" s="16">
        <v>4.7894599999999997E-3</v>
      </c>
      <c r="D198" s="16">
        <v>-8.0085619634541722E-2</v>
      </c>
      <c r="E198" t="str">
        <f t="shared" si="9"/>
        <v>Up to $10</v>
      </c>
      <c r="F198">
        <f t="shared" si="10"/>
        <v>4.7932987429992651E-3</v>
      </c>
      <c r="G198">
        <f t="shared" si="11"/>
        <v>-3.8387429992653432E-6</v>
      </c>
    </row>
    <row r="199" spans="1:7" x14ac:dyDescent="0.3">
      <c r="A199" s="21" t="s">
        <v>414</v>
      </c>
      <c r="B199" s="17" t="s">
        <v>415</v>
      </c>
      <c r="C199" s="17">
        <v>1.079</v>
      </c>
      <c r="D199" s="17">
        <v>3.9852367650472558E-4</v>
      </c>
      <c r="E199" t="str">
        <f t="shared" si="9"/>
        <v>Up to $10</v>
      </c>
      <c r="F199">
        <f t="shared" si="10"/>
        <v>1.0789956999466672</v>
      </c>
      <c r="G199">
        <f t="shared" si="11"/>
        <v>4.3000533327397505E-6</v>
      </c>
    </row>
    <row r="200" spans="1:7" x14ac:dyDescent="0.3">
      <c r="A200" s="20" t="s">
        <v>416</v>
      </c>
      <c r="B200" s="16" t="s">
        <v>417</v>
      </c>
      <c r="C200" s="16">
        <v>1.36</v>
      </c>
      <c r="D200" s="16">
        <v>-9.2043837236484405E-2</v>
      </c>
      <c r="E200" t="str">
        <f t="shared" si="9"/>
        <v>Up to $10</v>
      </c>
      <c r="F200">
        <f t="shared" si="10"/>
        <v>1.3612529494491681</v>
      </c>
      <c r="G200">
        <f t="shared" si="11"/>
        <v>-1.2529494491679838E-3</v>
      </c>
    </row>
    <row r="201" spans="1:7" x14ac:dyDescent="0.3">
      <c r="A201" s="21" t="s">
        <v>418</v>
      </c>
      <c r="B201" s="17" t="s">
        <v>419</v>
      </c>
      <c r="C201" s="17">
        <v>1.1000000000000001</v>
      </c>
      <c r="D201" s="17">
        <v>1.199410326652639E-2</v>
      </c>
      <c r="E201" t="str">
        <f t="shared" si="9"/>
        <v>Up to $10</v>
      </c>
      <c r="F201">
        <f t="shared" si="10"/>
        <v>1.0998680806866068</v>
      </c>
      <c r="G201">
        <f t="shared" si="11"/>
        <v>1.3191931339329166E-4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0BFBA-B34E-44A8-A291-2D0DE0F91987}">
  <dimension ref="A1:D14"/>
  <sheetViews>
    <sheetView workbookViewId="0">
      <selection activeCell="K24" sqref="K24"/>
    </sheetView>
  </sheetViews>
  <sheetFormatPr defaultRowHeight="14.4" x14ac:dyDescent="0.3"/>
  <cols>
    <col min="1" max="1" width="14.44140625" bestFit="1" customWidth="1"/>
    <col min="2" max="2" width="14.88671875" bestFit="1" customWidth="1"/>
    <col min="3" max="3" width="15.88671875" bestFit="1" customWidth="1"/>
    <col min="4" max="4" width="17" bestFit="1" customWidth="1"/>
  </cols>
  <sheetData>
    <row r="1" spans="1:4" x14ac:dyDescent="0.3">
      <c r="A1" s="4" t="s">
        <v>464</v>
      </c>
      <c r="B1" t="s">
        <v>469</v>
      </c>
    </row>
    <row r="3" spans="1:4" x14ac:dyDescent="0.3">
      <c r="A3" s="4" t="s">
        <v>433</v>
      </c>
      <c r="B3" t="s">
        <v>467</v>
      </c>
      <c r="C3" t="s">
        <v>468</v>
      </c>
      <c r="D3" t="s">
        <v>459</v>
      </c>
    </row>
    <row r="4" spans="1:4" x14ac:dyDescent="0.3">
      <c r="A4" s="5" t="s">
        <v>115</v>
      </c>
      <c r="B4">
        <v>0.67558543934316906</v>
      </c>
      <c r="C4">
        <v>0.78394882893440987</v>
      </c>
      <c r="D4">
        <v>4.2732958440488078</v>
      </c>
    </row>
    <row r="5" spans="1:4" x14ac:dyDescent="0.3">
      <c r="A5" s="5" t="s">
        <v>285</v>
      </c>
      <c r="B5">
        <v>0.89130475344598337</v>
      </c>
      <c r="C5">
        <v>1.7488029320774792</v>
      </c>
      <c r="D5">
        <v>3.0246675251777844</v>
      </c>
    </row>
    <row r="6" spans="1:4" x14ac:dyDescent="0.3">
      <c r="A6" s="5" t="s">
        <v>405</v>
      </c>
      <c r="B6">
        <v>0.17006628498604678</v>
      </c>
      <c r="C6">
        <v>6.4242343259356488E-2</v>
      </c>
      <c r="D6">
        <v>2.053190169349949</v>
      </c>
    </row>
    <row r="7" spans="1:4" x14ac:dyDescent="0.3">
      <c r="A7" s="5" t="s">
        <v>311</v>
      </c>
      <c r="B7">
        <v>4.7891598991289926E-2</v>
      </c>
      <c r="C7">
        <v>5.4194319821373946E-2</v>
      </c>
      <c r="D7">
        <v>1.1304244275461957</v>
      </c>
    </row>
    <row r="8" spans="1:4" x14ac:dyDescent="0.3">
      <c r="A8" s="5" t="s">
        <v>59</v>
      </c>
      <c r="B8">
        <v>0.15775210914558235</v>
      </c>
      <c r="C8">
        <v>0.16218032529924847</v>
      </c>
      <c r="D8">
        <v>0.90759973187467158</v>
      </c>
    </row>
    <row r="9" spans="1:4" x14ac:dyDescent="0.3">
      <c r="A9" s="5" t="s">
        <v>365</v>
      </c>
      <c r="B9">
        <v>0.23196122555007326</v>
      </c>
      <c r="C9">
        <v>0.19271505966996447</v>
      </c>
      <c r="D9">
        <v>0.89722200769105975</v>
      </c>
    </row>
    <row r="10" spans="1:4" x14ac:dyDescent="0.3">
      <c r="A10" s="5" t="s">
        <v>235</v>
      </c>
      <c r="B10">
        <v>1.3609889586407529</v>
      </c>
      <c r="C10">
        <v>1.3869594853053651</v>
      </c>
      <c r="D10">
        <v>0.85723729515254488</v>
      </c>
    </row>
    <row r="11" spans="1:4" x14ac:dyDescent="0.3">
      <c r="A11" s="5" t="s">
        <v>221</v>
      </c>
      <c r="B11">
        <v>1.2894725875002164E-2</v>
      </c>
      <c r="C11">
        <v>1.3649701055846649E-2</v>
      </c>
      <c r="D11">
        <v>0.74374329820953344</v>
      </c>
    </row>
    <row r="12" spans="1:4" x14ac:dyDescent="0.3">
      <c r="A12" s="5" t="s">
        <v>395</v>
      </c>
      <c r="B12">
        <v>1.0475604087153509</v>
      </c>
      <c r="C12">
        <v>0.76297035507920663</v>
      </c>
      <c r="D12">
        <v>0.57632346678547186</v>
      </c>
    </row>
    <row r="13" spans="1:4" x14ac:dyDescent="0.3">
      <c r="A13" s="5" t="s">
        <v>225</v>
      </c>
      <c r="B13">
        <v>3.2465548570003083E-2</v>
      </c>
      <c r="C13">
        <v>2.9835923798415456E-2</v>
      </c>
      <c r="D13">
        <v>0.53323550554772248</v>
      </c>
    </row>
    <row r="14" spans="1:4" x14ac:dyDescent="0.3">
      <c r="A14" s="5" t="s">
        <v>434</v>
      </c>
      <c r="B14">
        <v>4.6284710532632536</v>
      </c>
      <c r="C14">
        <v>5.1994992743006669</v>
      </c>
      <c r="D14">
        <v>14.99693927138374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5B2B-5C2F-48DF-8D1B-B0A68A73C751}">
  <dimension ref="A1:I201"/>
  <sheetViews>
    <sheetView topLeftCell="A2" workbookViewId="0">
      <selection activeCell="L15" sqref="L15"/>
    </sheetView>
  </sheetViews>
  <sheetFormatPr defaultRowHeight="14.4" x14ac:dyDescent="0.3"/>
  <cols>
    <col min="1" max="1" width="9.21875" customWidth="1"/>
    <col min="3" max="3" width="14.33203125" customWidth="1"/>
    <col min="4" max="4" width="12.33203125" customWidth="1"/>
    <col min="5" max="5" width="13.33203125" customWidth="1"/>
    <col min="6" max="6" width="12.33203125" customWidth="1"/>
    <col min="7" max="7" width="13.21875" customWidth="1"/>
    <col min="8" max="8" width="10.21875" customWidth="1"/>
    <col min="9" max="9" width="11.21875" customWidth="1"/>
  </cols>
  <sheetData>
    <row r="1" spans="1:9" x14ac:dyDescent="0.3">
      <c r="A1" s="15" t="s">
        <v>420</v>
      </c>
      <c r="B1" s="18" t="s">
        <v>427</v>
      </c>
      <c r="C1" s="15" t="s">
        <v>428</v>
      </c>
      <c r="D1" s="15" t="s">
        <v>425</v>
      </c>
      <c r="E1" s="15" t="s">
        <v>424</v>
      </c>
      <c r="F1" s="15" t="s">
        <v>426</v>
      </c>
      <c r="G1" s="19" t="s">
        <v>464</v>
      </c>
      <c r="H1" s="19" t="s">
        <v>465</v>
      </c>
      <c r="I1" s="19" t="s">
        <v>466</v>
      </c>
    </row>
    <row r="2" spans="1:9" x14ac:dyDescent="0.3">
      <c r="A2" s="20" t="s">
        <v>20</v>
      </c>
      <c r="B2" s="20" t="s">
        <v>21</v>
      </c>
      <c r="C2" s="16">
        <v>77625</v>
      </c>
      <c r="D2" s="16">
        <v>-0.26998955724195595</v>
      </c>
      <c r="E2" s="16">
        <v>0.27544999999999997</v>
      </c>
      <c r="F2" s="16">
        <v>-2.7081622791946165</v>
      </c>
      <c r="G2" t="str">
        <f>IF(C2&lt;=5,"0-5","&gt;5")</f>
        <v>&gt;5</v>
      </c>
      <c r="H2">
        <f>C2/(1+(F2/100))</f>
        <v>79785.726961759574</v>
      </c>
      <c r="I2">
        <f>C2/(1-(E2/100))</f>
        <v>77839.408651129532</v>
      </c>
    </row>
    <row r="3" spans="1:9" x14ac:dyDescent="0.3">
      <c r="A3" s="21" t="s">
        <v>22</v>
      </c>
      <c r="B3" s="21" t="s">
        <v>23</v>
      </c>
      <c r="C3" s="17">
        <v>2127.3200000000002</v>
      </c>
      <c r="D3" s="17">
        <v>-0.35164690734941828</v>
      </c>
      <c r="E3" s="17">
        <v>-2.0459999999999999E-2</v>
      </c>
      <c r="F3" s="17">
        <v>-6.0984806126137565</v>
      </c>
      <c r="G3" t="str">
        <f t="shared" ref="G3:G66" si="0">IF(C3&lt;=5,"0-5","&gt;5")</f>
        <v>&gt;5</v>
      </c>
      <c r="H3">
        <f t="shared" ref="H3:H66" si="1">C3/(1+(F3/100))</f>
        <v>2265.4798493982221</v>
      </c>
      <c r="I3">
        <f t="shared" ref="I3:I66" si="2">C3/(1-(E3/100))</f>
        <v>2126.8848393618669</v>
      </c>
    </row>
    <row r="4" spans="1:9" x14ac:dyDescent="0.3">
      <c r="A4" s="20" t="s">
        <v>24</v>
      </c>
      <c r="B4" s="20" t="s">
        <v>25</v>
      </c>
      <c r="C4" s="16">
        <v>0.99902000000000002</v>
      </c>
      <c r="D4" s="16">
        <v>-1.9520477448468752E-4</v>
      </c>
      <c r="E4" s="16">
        <v>1.1050000000000001E-2</v>
      </c>
      <c r="F4" s="16">
        <v>-4.4205563985474129E-2</v>
      </c>
      <c r="G4" t="str">
        <f t="shared" si="0"/>
        <v>0-5</v>
      </c>
      <c r="H4">
        <f t="shared" si="1"/>
        <v>0.99946181773334852</v>
      </c>
      <c r="I4">
        <f t="shared" si="2"/>
        <v>0.99913040390963204</v>
      </c>
    </row>
    <row r="5" spans="1:9" x14ac:dyDescent="0.3">
      <c r="A5" s="21" t="s">
        <v>26</v>
      </c>
      <c r="B5" s="21" t="s">
        <v>27</v>
      </c>
      <c r="C5" s="17">
        <v>652.91</v>
      </c>
      <c r="D5" s="17">
        <v>-0.19746184012934381</v>
      </c>
      <c r="E5" s="17">
        <v>1.47464</v>
      </c>
      <c r="F5" s="17">
        <v>-2.9628913906440819</v>
      </c>
      <c r="G5" t="str">
        <f t="shared" si="0"/>
        <v>&gt;5</v>
      </c>
      <c r="H5">
        <f t="shared" si="1"/>
        <v>672.84568693038023</v>
      </c>
      <c r="I5">
        <f t="shared" si="2"/>
        <v>662.6821764467544</v>
      </c>
    </row>
    <row r="6" spans="1:9" x14ac:dyDescent="0.3">
      <c r="A6" s="20" t="s">
        <v>28</v>
      </c>
      <c r="B6" s="20" t="s">
        <v>29</v>
      </c>
      <c r="C6" s="16">
        <v>1.37</v>
      </c>
      <c r="D6" s="16">
        <v>-0.3644693030301106</v>
      </c>
      <c r="E6" s="16">
        <v>0.25681999999999999</v>
      </c>
      <c r="F6" s="16">
        <v>-4.1430433482969358</v>
      </c>
      <c r="G6" t="str">
        <f t="shared" si="0"/>
        <v>0-5</v>
      </c>
      <c r="H6">
        <f t="shared" si="1"/>
        <v>1.4292129104180773</v>
      </c>
      <c r="I6">
        <f t="shared" si="2"/>
        <v>1.3735274933083146</v>
      </c>
    </row>
    <row r="7" spans="1:9" x14ac:dyDescent="0.3">
      <c r="A7" s="21" t="s">
        <v>30</v>
      </c>
      <c r="B7" s="21" t="s">
        <v>31</v>
      </c>
      <c r="C7" s="17">
        <v>0.99968699999999999</v>
      </c>
      <c r="D7" s="17">
        <v>-5.64363787272031E-4</v>
      </c>
      <c r="E7" s="17">
        <v>-3.7499999999999999E-3</v>
      </c>
      <c r="F7" s="17">
        <v>-1.6003052324647926E-3</v>
      </c>
      <c r="G7" t="str">
        <f t="shared" si="0"/>
        <v>0-5</v>
      </c>
      <c r="H7">
        <f t="shared" si="1"/>
        <v>0.99970299829939091</v>
      </c>
      <c r="I7">
        <f t="shared" si="2"/>
        <v>0.99964951314325723</v>
      </c>
    </row>
    <row r="8" spans="1:9" x14ac:dyDescent="0.3">
      <c r="A8" s="20" t="s">
        <v>32</v>
      </c>
      <c r="B8" s="20" t="s">
        <v>33</v>
      </c>
      <c r="C8" s="16">
        <v>86.45</v>
      </c>
      <c r="D8" s="16">
        <v>-0.31254002498921779</v>
      </c>
      <c r="E8" s="16">
        <v>1.8313600000000001</v>
      </c>
      <c r="F8" s="16">
        <v>-5.0537460497648681</v>
      </c>
      <c r="G8" t="str">
        <f t="shared" si="0"/>
        <v>&gt;5</v>
      </c>
      <c r="H8">
        <f t="shared" si="1"/>
        <v>91.051512201115031</v>
      </c>
      <c r="I8">
        <f t="shared" si="2"/>
        <v>88.062745903376069</v>
      </c>
    </row>
    <row r="9" spans="1:9" x14ac:dyDescent="0.3">
      <c r="A9" s="21" t="s">
        <v>34</v>
      </c>
      <c r="B9" s="21" t="s">
        <v>35</v>
      </c>
      <c r="C9" s="17">
        <v>0.36092299999999999</v>
      </c>
      <c r="D9" s="17">
        <v>0.39567427417631823</v>
      </c>
      <c r="E9" s="17">
        <v>1.20871</v>
      </c>
      <c r="F9" s="17">
        <v>2.6047322055623945</v>
      </c>
      <c r="G9" t="str">
        <f t="shared" si="0"/>
        <v>0-5</v>
      </c>
      <c r="H9">
        <f t="shared" si="1"/>
        <v>0.35176057891454027</v>
      </c>
      <c r="I9">
        <f t="shared" si="2"/>
        <v>0.36533888766914574</v>
      </c>
    </row>
    <row r="10" spans="1:9" ht="28.8" x14ac:dyDescent="0.3">
      <c r="A10" s="20" t="s">
        <v>36</v>
      </c>
      <c r="B10" s="20" t="s">
        <v>37</v>
      </c>
      <c r="C10" s="16">
        <v>1.0349999999999999</v>
      </c>
      <c r="D10" s="16"/>
      <c r="E10" s="16">
        <v>0.28842000000000001</v>
      </c>
      <c r="F10" s="16">
        <v>0.15266824030407483</v>
      </c>
      <c r="G10" t="str">
        <f t="shared" si="0"/>
        <v>0-5</v>
      </c>
      <c r="H10">
        <f t="shared" si="1"/>
        <v>1.0334222923713268</v>
      </c>
      <c r="I10">
        <f t="shared" si="2"/>
        <v>1.0379937816650784</v>
      </c>
    </row>
    <row r="11" spans="1:9" x14ac:dyDescent="0.3">
      <c r="A11" s="21" t="s">
        <v>38</v>
      </c>
      <c r="B11" s="21" t="s">
        <v>39</v>
      </c>
      <c r="C11" s="17">
        <v>0.10519299999999999</v>
      </c>
      <c r="D11" s="17">
        <v>-0.46872006955437379</v>
      </c>
      <c r="E11" s="17">
        <v>1.5492300000000001</v>
      </c>
      <c r="F11" s="17">
        <v>-7.7199288742425418</v>
      </c>
      <c r="G11" t="str">
        <f t="shared" si="0"/>
        <v>0-5</v>
      </c>
      <c r="H11">
        <f t="shared" si="1"/>
        <v>0.1139931934563044</v>
      </c>
      <c r="I11">
        <f t="shared" si="2"/>
        <v>0.10684832632593935</v>
      </c>
    </row>
    <row r="12" spans="1:9" ht="28.8" x14ac:dyDescent="0.3">
      <c r="A12" s="20" t="s">
        <v>40</v>
      </c>
      <c r="B12" s="20" t="s">
        <v>41</v>
      </c>
      <c r="C12" s="16">
        <v>58.51</v>
      </c>
      <c r="D12" s="16">
        <v>-1.3318135406100259E-2</v>
      </c>
      <c r="E12" s="16">
        <v>19.842790000000001</v>
      </c>
      <c r="F12" s="16">
        <v>49.695164804451998</v>
      </c>
      <c r="G12" t="str">
        <f t="shared" si="0"/>
        <v>&gt;5</v>
      </c>
      <c r="H12">
        <f t="shared" si="1"/>
        <v>39.086098790453306</v>
      </c>
      <c r="I12">
        <f t="shared" si="2"/>
        <v>72.994057552651839</v>
      </c>
    </row>
    <row r="13" spans="1:9" ht="28.8" x14ac:dyDescent="0.3">
      <c r="A13" s="21" t="s">
        <v>42</v>
      </c>
      <c r="B13" s="21" t="s">
        <v>43</v>
      </c>
      <c r="C13" s="17">
        <v>57.18</v>
      </c>
      <c r="D13" s="17">
        <v>-0.24685902293482925</v>
      </c>
      <c r="E13" s="17">
        <v>8.9389999999999997E-2</v>
      </c>
      <c r="F13" s="17">
        <v>-2.6285246538914002</v>
      </c>
      <c r="G13" t="str">
        <f t="shared" si="0"/>
        <v>&gt;5</v>
      </c>
      <c r="H13">
        <f t="shared" si="1"/>
        <v>58.723563340036385</v>
      </c>
      <c r="I13">
        <f t="shared" si="2"/>
        <v>57.231158932970182</v>
      </c>
    </row>
    <row r="14" spans="1:9" x14ac:dyDescent="0.3">
      <c r="A14" s="20" t="s">
        <v>44</v>
      </c>
      <c r="B14" s="20" t="s">
        <v>45</v>
      </c>
      <c r="C14" s="16">
        <v>665.49</v>
      </c>
      <c r="D14" s="16">
        <v>-9.4046672616777696E-2</v>
      </c>
      <c r="E14" s="16">
        <v>13.32569</v>
      </c>
      <c r="F14" s="16">
        <v>26.535394257960355</v>
      </c>
      <c r="G14" t="str">
        <f t="shared" si="0"/>
        <v>&gt;5</v>
      </c>
      <c r="H14">
        <f t="shared" si="1"/>
        <v>525.93189747629367</v>
      </c>
      <c r="I14">
        <f t="shared" si="2"/>
        <v>767.80536239630874</v>
      </c>
    </row>
    <row r="15" spans="1:9" x14ac:dyDescent="0.3">
      <c r="A15" s="21" t="s">
        <v>46</v>
      </c>
      <c r="B15" s="21" t="s">
        <v>47</v>
      </c>
      <c r="C15" s="17">
        <v>0.99964600000000003</v>
      </c>
      <c r="D15" s="17">
        <v>2.6770289844031442E-3</v>
      </c>
      <c r="E15" s="17">
        <v>5.0600000000000003E-3</v>
      </c>
      <c r="F15" s="17">
        <v>-2.4320300565846963E-2</v>
      </c>
      <c r="G15" t="str">
        <f t="shared" si="0"/>
        <v>0-5</v>
      </c>
      <c r="H15">
        <f t="shared" si="1"/>
        <v>0.99988917605294148</v>
      </c>
      <c r="I15">
        <f t="shared" si="2"/>
        <v>0.99969658464718314</v>
      </c>
    </row>
    <row r="16" spans="1:9" ht="28.8" x14ac:dyDescent="0.3">
      <c r="A16" s="20" t="s">
        <v>48</v>
      </c>
      <c r="B16" s="20" t="s">
        <v>49</v>
      </c>
      <c r="C16" s="16">
        <v>10.06</v>
      </c>
      <c r="D16" s="16">
        <v>-0.23917070692341913</v>
      </c>
      <c r="E16" s="16">
        <v>0.19786000000000001</v>
      </c>
      <c r="F16" s="16">
        <v>-0.71973090489243552</v>
      </c>
      <c r="G16" t="str">
        <f t="shared" si="0"/>
        <v>&gt;5</v>
      </c>
      <c r="H16">
        <f t="shared" si="1"/>
        <v>10.132929827539868</v>
      </c>
      <c r="I16">
        <f t="shared" si="2"/>
        <v>10.079944177549701</v>
      </c>
    </row>
    <row r="17" spans="1:9" x14ac:dyDescent="0.3">
      <c r="A17" s="21" t="s">
        <v>50</v>
      </c>
      <c r="B17" s="21" t="s">
        <v>51</v>
      </c>
      <c r="C17" s="17">
        <v>0.24875900000000001</v>
      </c>
      <c r="D17" s="17">
        <v>-0.29343451903324225</v>
      </c>
      <c r="E17" s="17">
        <v>-0.13300000000000001</v>
      </c>
      <c r="F17" s="17">
        <v>-6.1145290019070497</v>
      </c>
      <c r="G17" t="str">
        <f t="shared" si="0"/>
        <v>0-5</v>
      </c>
      <c r="H17">
        <f t="shared" si="1"/>
        <v>0.26496005969342473</v>
      </c>
      <c r="I17">
        <f t="shared" si="2"/>
        <v>0.24842858997533279</v>
      </c>
    </row>
    <row r="18" spans="1:9" ht="28.8" x14ac:dyDescent="0.3">
      <c r="A18" s="20" t="s">
        <v>52</v>
      </c>
      <c r="B18" s="20" t="s">
        <v>53</v>
      </c>
      <c r="C18" s="16">
        <v>376.18</v>
      </c>
      <c r="D18" s="16">
        <v>-0.17884023367537646</v>
      </c>
      <c r="E18" s="16">
        <v>1.87476</v>
      </c>
      <c r="F18" s="16">
        <v>-13.292683780606673</v>
      </c>
      <c r="G18" t="str">
        <f t="shared" si="0"/>
        <v>&gt;5</v>
      </c>
      <c r="H18">
        <f t="shared" si="1"/>
        <v>433.85035588941685</v>
      </c>
      <c r="I18">
        <f t="shared" si="2"/>
        <v>383.36721520375391</v>
      </c>
    </row>
    <row r="19" spans="1:9" x14ac:dyDescent="0.3">
      <c r="A19" s="21" t="s">
        <v>54</v>
      </c>
      <c r="B19" s="21" t="s">
        <v>55</v>
      </c>
      <c r="C19" s="17">
        <v>402.63</v>
      </c>
      <c r="D19" s="17">
        <v>-0.35748960128909968</v>
      </c>
      <c r="E19" s="17">
        <v>1.17431</v>
      </c>
      <c r="F19" s="17">
        <v>1.9649242091725676</v>
      </c>
      <c r="G19" t="str">
        <f t="shared" si="0"/>
        <v>&gt;5</v>
      </c>
      <c r="H19">
        <f t="shared" si="1"/>
        <v>394.87108250484062</v>
      </c>
      <c r="I19">
        <f t="shared" si="2"/>
        <v>407.41430694792012</v>
      </c>
    </row>
    <row r="20" spans="1:9" x14ac:dyDescent="0.3">
      <c r="A20" s="20" t="s">
        <v>56</v>
      </c>
      <c r="B20" s="20" t="s">
        <v>57</v>
      </c>
      <c r="C20" s="16">
        <v>9.6199999999999992</v>
      </c>
      <c r="D20" s="16">
        <v>-0.76263507813969977</v>
      </c>
      <c r="E20" s="16">
        <v>0.27684999999999998</v>
      </c>
      <c r="F20" s="16">
        <v>-6.3668807713147046</v>
      </c>
      <c r="G20" t="str">
        <f t="shared" si="0"/>
        <v>&gt;5</v>
      </c>
      <c r="H20">
        <f t="shared" si="1"/>
        <v>10.274142396671147</v>
      </c>
      <c r="I20">
        <f t="shared" si="2"/>
        <v>9.6467069080750036</v>
      </c>
    </row>
    <row r="21" spans="1:9" x14ac:dyDescent="0.3">
      <c r="A21" s="21" t="s">
        <v>58</v>
      </c>
      <c r="B21" s="21" t="s">
        <v>59</v>
      </c>
      <c r="C21" s="17">
        <v>0.15551100000000001</v>
      </c>
      <c r="D21" s="17">
        <v>0.90759973187467158</v>
      </c>
      <c r="E21" s="17">
        <v>4.1122899999999998</v>
      </c>
      <c r="F21" s="17">
        <v>-1.4206524132835012</v>
      </c>
      <c r="G21" t="str">
        <f t="shared" si="0"/>
        <v>0-5</v>
      </c>
      <c r="H21">
        <f t="shared" si="1"/>
        <v>0.15775210914558235</v>
      </c>
      <c r="I21">
        <f t="shared" si="2"/>
        <v>0.16218032529924847</v>
      </c>
    </row>
    <row r="22" spans="1:9" x14ac:dyDescent="0.3">
      <c r="A22" s="20" t="s">
        <v>60</v>
      </c>
      <c r="B22" s="20" t="s">
        <v>61</v>
      </c>
      <c r="C22" s="16">
        <v>2.04</v>
      </c>
      <c r="D22" s="16">
        <v>-0.84319713447796596</v>
      </c>
      <c r="E22" s="16">
        <v>4.1837299999999997</v>
      </c>
      <c r="F22" s="16">
        <v>-4.1933967248617057</v>
      </c>
      <c r="G22" t="str">
        <f t="shared" si="0"/>
        <v>0-5</v>
      </c>
      <c r="H22">
        <f t="shared" si="1"/>
        <v>2.1292895586137304</v>
      </c>
      <c r="I22">
        <f t="shared" si="2"/>
        <v>2.1290747385595368</v>
      </c>
    </row>
    <row r="23" spans="1:9" x14ac:dyDescent="0.3">
      <c r="A23" s="21" t="s">
        <v>62</v>
      </c>
      <c r="B23" s="21" t="s">
        <v>63</v>
      </c>
      <c r="C23" s="17">
        <v>0.144819</v>
      </c>
      <c r="D23" s="17">
        <v>-0.58548653793091465</v>
      </c>
      <c r="E23" s="17">
        <v>1.5304199999999999</v>
      </c>
      <c r="F23" s="17">
        <v>-9.0729778300134019</v>
      </c>
      <c r="G23" t="str">
        <f t="shared" si="0"/>
        <v>0-5</v>
      </c>
      <c r="H23">
        <f t="shared" si="1"/>
        <v>0.15926948507041527</v>
      </c>
      <c r="I23">
        <f t="shared" si="2"/>
        <v>0.14706978540986973</v>
      </c>
    </row>
    <row r="24" spans="1:9" x14ac:dyDescent="0.3">
      <c r="A24" s="20" t="s">
        <v>64</v>
      </c>
      <c r="B24" s="20" t="s">
        <v>65</v>
      </c>
      <c r="C24" s="16">
        <v>0.99992000000000003</v>
      </c>
      <c r="D24" s="16">
        <v>1.1011117154098476E-3</v>
      </c>
      <c r="E24" s="16">
        <v>3.0000000000000001E-5</v>
      </c>
      <c r="F24" s="16">
        <v>5.9678160215982982E-2</v>
      </c>
      <c r="G24" t="str">
        <f t="shared" si="0"/>
        <v>0-5</v>
      </c>
      <c r="H24">
        <f t="shared" si="1"/>
        <v>0.99932362204775815</v>
      </c>
      <c r="I24">
        <f t="shared" si="2"/>
        <v>0.99992029997609</v>
      </c>
    </row>
    <row r="25" spans="1:9" ht="28.8" x14ac:dyDescent="0.3">
      <c r="A25" s="21" t="s">
        <v>68</v>
      </c>
      <c r="B25" s="21" t="s">
        <v>69</v>
      </c>
      <c r="C25" s="17">
        <v>0.99930799999999997</v>
      </c>
      <c r="D25" s="17">
        <v>-2.3653087844086539E-3</v>
      </c>
      <c r="E25" s="17">
        <v>-1.5900000000000001E-2</v>
      </c>
      <c r="F25" s="17">
        <v>-9.3638872835028919E-2</v>
      </c>
      <c r="G25" t="str">
        <f t="shared" si="0"/>
        <v>0-5</v>
      </c>
      <c r="H25">
        <f t="shared" si="1"/>
        <v>1.0002446177856876</v>
      </c>
      <c r="I25">
        <f t="shared" si="2"/>
        <v>0.99914913528748928</v>
      </c>
    </row>
    <row r="26" spans="1:9" x14ac:dyDescent="0.3">
      <c r="A26" s="20" t="s">
        <v>66</v>
      </c>
      <c r="B26" s="20" t="s">
        <v>67</v>
      </c>
      <c r="C26" s="16">
        <v>1.1100000000000001</v>
      </c>
      <c r="D26" s="16">
        <v>-1.5169068696385468</v>
      </c>
      <c r="E26" s="16">
        <v>4.5434099999999997</v>
      </c>
      <c r="F26" s="16">
        <v>-7.1601519320704128</v>
      </c>
      <c r="G26" t="str">
        <f t="shared" si="0"/>
        <v>0-5</v>
      </c>
      <c r="H26">
        <f t="shared" si="1"/>
        <v>1.1956072991285263</v>
      </c>
      <c r="I26">
        <f t="shared" si="2"/>
        <v>1.1628322360981052</v>
      </c>
    </row>
    <row r="27" spans="1:9" x14ac:dyDescent="0.3">
      <c r="A27" s="21" t="s">
        <v>70</v>
      </c>
      <c r="B27" s="21" t="s">
        <v>71</v>
      </c>
      <c r="C27" s="17">
        <v>0.99981900000000001</v>
      </c>
      <c r="D27" s="17">
        <v>8.3625673943511487E-4</v>
      </c>
      <c r="E27" s="17">
        <v>1.8280000000000001E-2</v>
      </c>
      <c r="F27" s="17">
        <v>2.9514382424712448E-2</v>
      </c>
      <c r="G27" t="str">
        <f t="shared" si="0"/>
        <v>0-5</v>
      </c>
      <c r="H27">
        <f t="shared" si="1"/>
        <v>0.99952399666519753</v>
      </c>
      <c r="I27">
        <f t="shared" si="2"/>
        <v>1.0000018003291002</v>
      </c>
    </row>
    <row r="28" spans="1:9" x14ac:dyDescent="0.3">
      <c r="A28" s="20" t="s">
        <v>72</v>
      </c>
      <c r="B28" s="20" t="s">
        <v>73</v>
      </c>
      <c r="C28" s="16">
        <v>54.03</v>
      </c>
      <c r="D28" s="16">
        <v>-0.62285887553227504</v>
      </c>
      <c r="E28" s="16">
        <v>-9.3060000000000004E-2</v>
      </c>
      <c r="F28" s="16">
        <v>-5.3993416501327403</v>
      </c>
      <c r="G28" t="str">
        <f t="shared" si="0"/>
        <v>&gt;5</v>
      </c>
      <c r="H28">
        <f t="shared" si="1"/>
        <v>57.113767432968203</v>
      </c>
      <c r="I28">
        <f t="shared" si="2"/>
        <v>53.979766429360836</v>
      </c>
    </row>
    <row r="29" spans="1:9" ht="28.8" x14ac:dyDescent="0.3">
      <c r="A29" s="21" t="s">
        <v>74</v>
      </c>
      <c r="B29" s="21" t="s">
        <v>75</v>
      </c>
      <c r="C29" s="17">
        <v>9.4</v>
      </c>
      <c r="D29" s="17">
        <v>-0.5270701326194368</v>
      </c>
      <c r="E29" s="17">
        <v>2.0732599999999999</v>
      </c>
      <c r="F29" s="17">
        <v>-3.1470069290993865</v>
      </c>
      <c r="G29" t="str">
        <f t="shared" si="0"/>
        <v>&gt;5</v>
      </c>
      <c r="H29">
        <f t="shared" si="1"/>
        <v>9.7054305726192585</v>
      </c>
      <c r="I29">
        <f t="shared" si="2"/>
        <v>9.5990124862729012</v>
      </c>
    </row>
    <row r="30" spans="1:9" x14ac:dyDescent="0.3">
      <c r="A30" s="20" t="s">
        <v>76</v>
      </c>
      <c r="B30" s="20" t="s">
        <v>77</v>
      </c>
      <c r="C30" s="16">
        <v>8.8805999999999996E-2</v>
      </c>
      <c r="D30" s="16">
        <v>-0.18592621031752665</v>
      </c>
      <c r="E30" s="16">
        <v>-0.39122000000000001</v>
      </c>
      <c r="F30" s="16">
        <v>-4.5020050111720744</v>
      </c>
      <c r="G30" t="str">
        <f t="shared" si="0"/>
        <v>0-5</v>
      </c>
      <c r="H30">
        <f t="shared" si="1"/>
        <v>9.2992528283331169E-2</v>
      </c>
      <c r="I30">
        <f t="shared" si="2"/>
        <v>8.8459927073303815E-2</v>
      </c>
    </row>
    <row r="31" spans="1:9" ht="28.8" x14ac:dyDescent="0.3">
      <c r="A31" s="21" t="s">
        <v>78</v>
      </c>
      <c r="B31" s="21" t="s">
        <v>79</v>
      </c>
      <c r="C31" s="17">
        <v>2.84</v>
      </c>
      <c r="D31" s="17">
        <v>-0.53550966207052098</v>
      </c>
      <c r="E31" s="17">
        <v>-15.32451</v>
      </c>
      <c r="F31" s="17">
        <v>-15.498655555094864</v>
      </c>
      <c r="G31" t="str">
        <f t="shared" si="0"/>
        <v>0-5</v>
      </c>
      <c r="H31">
        <f t="shared" si="1"/>
        <v>3.3608932717652551</v>
      </c>
      <c r="I31">
        <f t="shared" si="2"/>
        <v>2.462616142917061</v>
      </c>
    </row>
    <row r="32" spans="1:9" ht="28.8" x14ac:dyDescent="0.3">
      <c r="A32" s="20" t="s">
        <v>80</v>
      </c>
      <c r="B32" s="20" t="s">
        <v>81</v>
      </c>
      <c r="C32" s="16">
        <v>0.99973599999999996</v>
      </c>
      <c r="D32" s="16">
        <v>-7.7113846753832978E-3</v>
      </c>
      <c r="E32" s="16">
        <v>-8.5400000000000007E-3</v>
      </c>
      <c r="F32" s="16">
        <v>8.6002119353038777E-3</v>
      </c>
      <c r="G32" t="str">
        <f t="shared" si="0"/>
        <v>0-5</v>
      </c>
      <c r="H32">
        <f t="shared" si="1"/>
        <v>0.9996500279789825</v>
      </c>
      <c r="I32">
        <f t="shared" si="2"/>
        <v>0.999650629836212</v>
      </c>
    </row>
    <row r="33" spans="1:9" x14ac:dyDescent="0.3">
      <c r="A33" s="21" t="s">
        <v>82</v>
      </c>
      <c r="B33" s="21" t="s">
        <v>83</v>
      </c>
      <c r="C33" s="17">
        <v>7.5084499999999998E-3</v>
      </c>
      <c r="D33" s="17">
        <v>-0.4191197650307209</v>
      </c>
      <c r="E33" s="17">
        <v>7.5850000000000001E-2</v>
      </c>
      <c r="F33" s="17">
        <v>-0.15384555735126018</v>
      </c>
      <c r="G33" t="str">
        <f t="shared" si="0"/>
        <v>0-5</v>
      </c>
      <c r="H33">
        <f t="shared" si="1"/>
        <v>7.5200192154749696E-3</v>
      </c>
      <c r="I33">
        <f t="shared" si="2"/>
        <v>7.514149482382387E-3</v>
      </c>
    </row>
    <row r="34" spans="1:9" x14ac:dyDescent="0.3">
      <c r="A34" s="20" t="s">
        <v>84</v>
      </c>
      <c r="B34" s="20" t="s">
        <v>85</v>
      </c>
      <c r="C34" s="16">
        <v>5.8000000000000004E-6</v>
      </c>
      <c r="D34" s="16">
        <v>-0.35139883319247217</v>
      </c>
      <c r="E34" s="16">
        <v>1.0641099999999999</v>
      </c>
      <c r="F34" s="16">
        <v>-7.7832922731106606</v>
      </c>
      <c r="G34" t="str">
        <f t="shared" si="0"/>
        <v>0-5</v>
      </c>
      <c r="H34">
        <f t="shared" si="1"/>
        <v>6.289532713721883E-6</v>
      </c>
      <c r="I34">
        <f t="shared" si="2"/>
        <v>5.8623821951770992E-6</v>
      </c>
    </row>
    <row r="35" spans="1:9" x14ac:dyDescent="0.3">
      <c r="A35" s="21" t="s">
        <v>86</v>
      </c>
      <c r="B35" s="21" t="s">
        <v>87</v>
      </c>
      <c r="C35" s="17">
        <v>6.9209000000000007E-2</v>
      </c>
      <c r="D35" s="17">
        <v>-0.44028155194728957</v>
      </c>
      <c r="E35" s="17">
        <v>0.63295999999999997</v>
      </c>
      <c r="F35" s="17">
        <v>-6.6222142406727675</v>
      </c>
      <c r="G35" t="str">
        <f t="shared" si="0"/>
        <v>0-5</v>
      </c>
      <c r="H35">
        <f t="shared" si="1"/>
        <v>7.411719975710275E-2</v>
      </c>
      <c r="I35">
        <f t="shared" si="2"/>
        <v>6.9649855726808416E-2</v>
      </c>
    </row>
    <row r="36" spans="1:9" ht="28.8" x14ac:dyDescent="0.3">
      <c r="A36" s="20" t="s">
        <v>88</v>
      </c>
      <c r="B36" s="20" t="s">
        <v>89</v>
      </c>
      <c r="C36" s="16">
        <v>1.1200000000000001</v>
      </c>
      <c r="D36" s="16"/>
      <c r="E36" s="16"/>
      <c r="F36" s="16">
        <v>0.13357663397083344</v>
      </c>
      <c r="G36" t="str">
        <f t="shared" si="0"/>
        <v>0-5</v>
      </c>
      <c r="H36">
        <f t="shared" si="1"/>
        <v>1.1185059374180331</v>
      </c>
      <c r="I36">
        <f t="shared" si="2"/>
        <v>1.1200000000000001</v>
      </c>
    </row>
    <row r="37" spans="1:9" x14ac:dyDescent="0.3">
      <c r="A37" s="21" t="s">
        <v>90</v>
      </c>
      <c r="B37" s="21" t="s">
        <v>91</v>
      </c>
      <c r="C37" s="17">
        <v>283.02</v>
      </c>
      <c r="D37" s="17">
        <v>-1.781568348964804</v>
      </c>
      <c r="E37" s="17">
        <v>7.9411100000000001</v>
      </c>
      <c r="F37" s="17">
        <v>-4.4596294501491007</v>
      </c>
      <c r="G37" t="str">
        <f t="shared" si="0"/>
        <v>&gt;5</v>
      </c>
      <c r="H37">
        <f t="shared" si="1"/>
        <v>296.2307958103703</v>
      </c>
      <c r="I37">
        <f t="shared" si="2"/>
        <v>307.4336438338546</v>
      </c>
    </row>
    <row r="38" spans="1:9" ht="28.8" x14ac:dyDescent="0.3">
      <c r="A38" s="20" t="s">
        <v>92</v>
      </c>
      <c r="B38" s="20" t="s">
        <v>93</v>
      </c>
      <c r="C38" s="16">
        <v>4522.5200000000004</v>
      </c>
      <c r="D38" s="16">
        <v>1.202015389017762E-2</v>
      </c>
      <c r="E38" s="16">
        <v>0.92886000000000002</v>
      </c>
      <c r="F38" s="16">
        <v>-3.4818058999431787</v>
      </c>
      <c r="G38" t="str">
        <f t="shared" si="0"/>
        <v>&gt;5</v>
      </c>
      <c r="H38">
        <f t="shared" si="1"/>
        <v>4685.6657878530887</v>
      </c>
      <c r="I38">
        <f t="shared" si="2"/>
        <v>4564.9217319998543</v>
      </c>
    </row>
    <row r="39" spans="1:9" ht="28.8" x14ac:dyDescent="0.3">
      <c r="A39" s="21" t="s">
        <v>94</v>
      </c>
      <c r="B39" s="21" t="s">
        <v>95</v>
      </c>
      <c r="C39" s="17">
        <v>0.99975899999999995</v>
      </c>
      <c r="D39" s="17">
        <v>4.8599483188784334E-4</v>
      </c>
      <c r="E39" s="17">
        <v>3.0599999999999998E-3</v>
      </c>
      <c r="F39" s="17">
        <v>1.8589930632178946E-2</v>
      </c>
      <c r="G39" t="str">
        <f t="shared" si="0"/>
        <v>0-5</v>
      </c>
      <c r="H39">
        <f t="shared" si="1"/>
        <v>0.99957318003921281</v>
      </c>
      <c r="I39">
        <f t="shared" si="2"/>
        <v>0.99978959356156294</v>
      </c>
    </row>
    <row r="40" spans="1:9" ht="100.8" x14ac:dyDescent="0.3">
      <c r="A40" s="20" t="s">
        <v>96</v>
      </c>
      <c r="B40" s="20" t="s">
        <v>97</v>
      </c>
      <c r="C40" s="16">
        <v>1</v>
      </c>
      <c r="D40" s="16">
        <v>0</v>
      </c>
      <c r="E40" s="16">
        <v>0</v>
      </c>
      <c r="F40" s="16">
        <v>0</v>
      </c>
      <c r="G40" t="str">
        <f t="shared" si="0"/>
        <v>0-5</v>
      </c>
      <c r="H40">
        <f t="shared" si="1"/>
        <v>1</v>
      </c>
      <c r="I40">
        <f t="shared" si="2"/>
        <v>1</v>
      </c>
    </row>
    <row r="41" spans="1:9" x14ac:dyDescent="0.3">
      <c r="A41" s="21" t="s">
        <v>98</v>
      </c>
      <c r="B41" s="21" t="s">
        <v>99</v>
      </c>
      <c r="C41" s="17">
        <v>3.62</v>
      </c>
      <c r="D41" s="17">
        <v>-0.99050516050255055</v>
      </c>
      <c r="E41" s="17">
        <v>-0.41322999999999999</v>
      </c>
      <c r="F41" s="17">
        <v>0.58632792341699735</v>
      </c>
      <c r="G41" t="str">
        <f t="shared" si="0"/>
        <v>0-5</v>
      </c>
      <c r="H41">
        <f t="shared" si="1"/>
        <v>3.5988986522662851</v>
      </c>
      <c r="I41">
        <f t="shared" si="2"/>
        <v>3.6051026343839356</v>
      </c>
    </row>
    <row r="42" spans="1:9" ht="28.8" x14ac:dyDescent="0.3">
      <c r="A42" s="20" t="s">
        <v>100</v>
      </c>
      <c r="B42" s="20" t="s">
        <v>101</v>
      </c>
      <c r="C42" s="16">
        <v>1.75</v>
      </c>
      <c r="D42" s="16">
        <v>-0.11812262464886564</v>
      </c>
      <c r="E42" s="16">
        <v>6.3548799999999996</v>
      </c>
      <c r="F42" s="16">
        <v>10.639836616397185</v>
      </c>
      <c r="G42" t="str">
        <f t="shared" si="0"/>
        <v>0-5</v>
      </c>
      <c r="H42">
        <f t="shared" si="1"/>
        <v>1.5817087710166089</v>
      </c>
      <c r="I42">
        <f t="shared" si="2"/>
        <v>1.8687572828140964</v>
      </c>
    </row>
    <row r="43" spans="1:9" x14ac:dyDescent="0.3">
      <c r="A43" s="21" t="s">
        <v>102</v>
      </c>
      <c r="B43" s="21" t="s">
        <v>103</v>
      </c>
      <c r="C43" s="17">
        <v>0.68358699999999994</v>
      </c>
      <c r="D43" s="17">
        <v>-0.34267195050204619</v>
      </c>
      <c r="E43" s="17">
        <v>9.2082300000000004</v>
      </c>
      <c r="F43" s="17">
        <v>1.0438859455008442</v>
      </c>
      <c r="G43" t="str">
        <f t="shared" si="0"/>
        <v>0-5</v>
      </c>
      <c r="H43">
        <f t="shared" si="1"/>
        <v>0.67652485215057967</v>
      </c>
      <c r="I43">
        <f t="shared" si="2"/>
        <v>0.7529173624437544</v>
      </c>
    </row>
    <row r="44" spans="1:9" ht="43.2" x14ac:dyDescent="0.3">
      <c r="A44" s="20" t="s">
        <v>104</v>
      </c>
      <c r="B44" s="20" t="s">
        <v>105</v>
      </c>
      <c r="C44" s="16">
        <v>1.1299999999999999</v>
      </c>
      <c r="D44" s="16">
        <v>0.42795131373949907</v>
      </c>
      <c r="E44" s="16">
        <v>-0.23561000000000001</v>
      </c>
      <c r="F44" s="16">
        <v>2.8911816051841989E-2</v>
      </c>
      <c r="G44" t="str">
        <f t="shared" si="0"/>
        <v>0-5</v>
      </c>
      <c r="H44">
        <f t="shared" si="1"/>
        <v>1.1296733909072341</v>
      </c>
      <c r="I44">
        <f t="shared" si="2"/>
        <v>1.1273438651193921</v>
      </c>
    </row>
    <row r="45" spans="1:9" x14ac:dyDescent="0.3">
      <c r="A45" s="21" t="s">
        <v>106</v>
      </c>
      <c r="B45" s="21" t="s">
        <v>107</v>
      </c>
      <c r="C45" s="17">
        <v>1.27</v>
      </c>
      <c r="D45" s="17">
        <v>-0.54818035898782391</v>
      </c>
      <c r="E45" s="17">
        <v>2.3259799999999999</v>
      </c>
      <c r="F45" s="17">
        <v>-4.5023257036709508</v>
      </c>
      <c r="G45" t="str">
        <f t="shared" si="0"/>
        <v>0-5</v>
      </c>
      <c r="H45">
        <f t="shared" si="1"/>
        <v>1.3298753182817764</v>
      </c>
      <c r="I45">
        <f t="shared" si="2"/>
        <v>1.3002434014695003</v>
      </c>
    </row>
    <row r="46" spans="1:9" x14ac:dyDescent="0.3">
      <c r="A46" s="20" t="s">
        <v>108</v>
      </c>
      <c r="B46" s="20" t="s">
        <v>109</v>
      </c>
      <c r="C46" s="16">
        <v>4524.24</v>
      </c>
      <c r="D46" s="16">
        <v>3.1792901976748576E-2</v>
      </c>
      <c r="E46" s="16">
        <v>0.93718000000000001</v>
      </c>
      <c r="F46" s="16">
        <v>-3.4895275090278206</v>
      </c>
      <c r="G46" t="str">
        <f t="shared" si="0"/>
        <v>&gt;5</v>
      </c>
      <c r="H46">
        <f t="shared" si="1"/>
        <v>4687.8228685733648</v>
      </c>
      <c r="I46">
        <f t="shared" si="2"/>
        <v>4567.0413985792047</v>
      </c>
    </row>
    <row r="47" spans="1:9" x14ac:dyDescent="0.3">
      <c r="A47" s="21" t="s">
        <v>110</v>
      </c>
      <c r="B47" s="21" t="s">
        <v>111</v>
      </c>
      <c r="C47" s="17">
        <v>0.40456700000000001</v>
      </c>
      <c r="D47" s="17">
        <v>-0.85457540649667207</v>
      </c>
      <c r="E47" s="17">
        <v>7.5934699999999999</v>
      </c>
      <c r="F47" s="17">
        <v>5.4569317177622905</v>
      </c>
      <c r="G47" t="str">
        <f t="shared" si="0"/>
        <v>0-5</v>
      </c>
      <c r="H47">
        <f t="shared" si="1"/>
        <v>0.38363243971743405</v>
      </c>
      <c r="I47">
        <f t="shared" si="2"/>
        <v>0.43781213297371951</v>
      </c>
    </row>
    <row r="48" spans="1:9" ht="43.2" x14ac:dyDescent="0.3">
      <c r="A48" s="20" t="s">
        <v>112</v>
      </c>
      <c r="B48" s="20" t="s">
        <v>113</v>
      </c>
      <c r="C48" s="16">
        <v>6.1742999999999999E-2</v>
      </c>
      <c r="D48" s="16">
        <v>8.5060875340040809E-2</v>
      </c>
      <c r="E48" s="16">
        <v>0.26554</v>
      </c>
      <c r="F48" s="16">
        <v>-9.2719290133201966</v>
      </c>
      <c r="G48" t="str">
        <f t="shared" si="0"/>
        <v>0-5</v>
      </c>
      <c r="H48">
        <f t="shared" si="1"/>
        <v>6.8052808054372457E-2</v>
      </c>
      <c r="I48">
        <f t="shared" si="2"/>
        <v>6.1907388880433102E-2</v>
      </c>
    </row>
    <row r="49" spans="1:9" x14ac:dyDescent="0.3">
      <c r="A49" s="21" t="s">
        <v>114</v>
      </c>
      <c r="B49" s="21" t="s">
        <v>115</v>
      </c>
      <c r="C49" s="17">
        <v>0.71816000000000002</v>
      </c>
      <c r="D49" s="17">
        <v>4.2732958440488078</v>
      </c>
      <c r="E49" s="17">
        <v>8.3919800000000002</v>
      </c>
      <c r="F49" s="17">
        <v>6.301876591393631</v>
      </c>
      <c r="G49" t="str">
        <f t="shared" si="0"/>
        <v>0-5</v>
      </c>
      <c r="H49">
        <f t="shared" si="1"/>
        <v>0.67558543934316906</v>
      </c>
      <c r="I49">
        <f t="shared" si="2"/>
        <v>0.78394882893440987</v>
      </c>
    </row>
    <row r="50" spans="1:9" x14ac:dyDescent="0.3">
      <c r="A50" s="20" t="s">
        <v>116</v>
      </c>
      <c r="B50" s="20" t="s">
        <v>117</v>
      </c>
      <c r="C50" s="16">
        <v>2.0099999999999998E-6</v>
      </c>
      <c r="D50" s="16">
        <v>7.4229103767335616E-2</v>
      </c>
      <c r="E50" s="16">
        <v>2.0961599999999998</v>
      </c>
      <c r="F50" s="16">
        <v>2.7640844695456144</v>
      </c>
      <c r="G50" t="str">
        <f t="shared" si="0"/>
        <v>0-5</v>
      </c>
      <c r="H50">
        <f t="shared" si="1"/>
        <v>1.9559362693448296E-6</v>
      </c>
      <c r="I50">
        <f t="shared" si="2"/>
        <v>2.0530348962819028E-6</v>
      </c>
    </row>
    <row r="51" spans="1:9" ht="28.8" x14ac:dyDescent="0.3">
      <c r="A51" s="21" t="s">
        <v>118</v>
      </c>
      <c r="B51" s="21" t="s">
        <v>119</v>
      </c>
      <c r="C51" s="17">
        <v>0.99793699999999996</v>
      </c>
      <c r="D51" s="17">
        <v>5.862603634798183E-2</v>
      </c>
      <c r="E51" s="17">
        <v>2.0209999999999999E-2</v>
      </c>
      <c r="F51" s="17">
        <v>2.060919059783636E-2</v>
      </c>
      <c r="G51" t="str">
        <f t="shared" si="0"/>
        <v>0-5</v>
      </c>
      <c r="H51">
        <f t="shared" si="1"/>
        <v>0.99773137563914016</v>
      </c>
      <c r="I51">
        <f t="shared" si="2"/>
        <v>0.99813872383608726</v>
      </c>
    </row>
    <row r="52" spans="1:9" ht="28.8" x14ac:dyDescent="0.3">
      <c r="A52" s="20" t="s">
        <v>120</v>
      </c>
      <c r="B52" s="20" t="s">
        <v>121</v>
      </c>
      <c r="C52" s="16">
        <v>0.99985500000000005</v>
      </c>
      <c r="D52" s="16">
        <v>-5.4478521218610477E-3</v>
      </c>
      <c r="E52" s="16">
        <v>-7.5199999999999998E-3</v>
      </c>
      <c r="F52" s="16">
        <v>4.5662620184120875E-4</v>
      </c>
      <c r="G52" t="str">
        <f t="shared" si="0"/>
        <v>0-5</v>
      </c>
      <c r="H52">
        <f t="shared" si="1"/>
        <v>0.99985043442093713</v>
      </c>
      <c r="I52">
        <f t="shared" si="2"/>
        <v>0.99977981655779491</v>
      </c>
    </row>
    <row r="53" spans="1:9" x14ac:dyDescent="0.3">
      <c r="A53" s="21" t="s">
        <v>122</v>
      </c>
      <c r="B53" s="21" t="s">
        <v>123</v>
      </c>
      <c r="C53" s="17">
        <v>80.91</v>
      </c>
      <c r="D53" s="17">
        <v>-0.23627204871313084</v>
      </c>
      <c r="E53" s="17">
        <v>0.38945999999999997</v>
      </c>
      <c r="F53" s="17">
        <v>-4.35506655847899</v>
      </c>
      <c r="G53" t="str">
        <f t="shared" si="0"/>
        <v>&gt;5</v>
      </c>
      <c r="H53">
        <f t="shared" si="1"/>
        <v>84.5941306963947</v>
      </c>
      <c r="I53">
        <f t="shared" si="2"/>
        <v>81.226344119808999</v>
      </c>
    </row>
    <row r="54" spans="1:9" x14ac:dyDescent="0.3">
      <c r="A54" s="20" t="s">
        <v>124</v>
      </c>
      <c r="B54" s="20" t="s">
        <v>125</v>
      </c>
      <c r="C54" s="16">
        <v>7.0705000000000004E-2</v>
      </c>
      <c r="D54" s="16">
        <v>1.142832523301753E-2</v>
      </c>
      <c r="E54" s="16">
        <v>2.4282400000000002</v>
      </c>
      <c r="F54" s="16">
        <v>-2.7877835679384351</v>
      </c>
      <c r="G54" t="str">
        <f t="shared" si="0"/>
        <v>0-5</v>
      </c>
      <c r="H54">
        <f t="shared" si="1"/>
        <v>7.273262825913801E-2</v>
      </c>
      <c r="I54">
        <f t="shared" si="2"/>
        <v>7.2464614761484275E-2</v>
      </c>
    </row>
    <row r="55" spans="1:9" ht="28.8" x14ac:dyDescent="0.3">
      <c r="A55" s="21" t="s">
        <v>126</v>
      </c>
      <c r="B55" s="21" t="s">
        <v>127</v>
      </c>
      <c r="C55" s="17">
        <v>0.152616</v>
      </c>
      <c r="D55" s="17">
        <v>-0.3945121998644997</v>
      </c>
      <c r="E55" s="17">
        <v>1.3580399999999999</v>
      </c>
      <c r="F55" s="17">
        <v>-10.239751688685232</v>
      </c>
      <c r="G55" t="str">
        <f t="shared" si="0"/>
        <v>0-5</v>
      </c>
      <c r="H55">
        <f t="shared" si="1"/>
        <v>0.17002626760866693</v>
      </c>
      <c r="I55">
        <f t="shared" si="2"/>
        <v>0.15471712038163071</v>
      </c>
    </row>
    <row r="56" spans="1:9" x14ac:dyDescent="0.3">
      <c r="A56" s="20" t="s">
        <v>128</v>
      </c>
      <c r="B56" s="20" t="s">
        <v>129</v>
      </c>
      <c r="C56" s="16">
        <v>3.7500000000000001E-6</v>
      </c>
      <c r="D56" s="16">
        <v>-0.64820364747108716</v>
      </c>
      <c r="E56" s="16">
        <v>1.82717</v>
      </c>
      <c r="F56" s="16">
        <v>-7.1632180720147183</v>
      </c>
      <c r="G56" t="str">
        <f t="shared" si="0"/>
        <v>0-5</v>
      </c>
      <c r="H56">
        <f t="shared" si="1"/>
        <v>4.0393472523734444E-6</v>
      </c>
      <c r="I56">
        <f t="shared" si="2"/>
        <v>3.8197941324498843E-6</v>
      </c>
    </row>
    <row r="57" spans="1:9" x14ac:dyDescent="0.3">
      <c r="A57" s="21" t="s">
        <v>130</v>
      </c>
      <c r="B57" s="21" t="s">
        <v>131</v>
      </c>
      <c r="C57" s="17">
        <v>0.99919599999999997</v>
      </c>
      <c r="D57" s="17">
        <v>-2.0785640772402279E-2</v>
      </c>
      <c r="E57" s="17">
        <v>-6.7400000000000003E-3</v>
      </c>
      <c r="F57" s="17">
        <v>-3.5988291909135536E-2</v>
      </c>
      <c r="G57" t="str">
        <f t="shared" si="0"/>
        <v>0-5</v>
      </c>
      <c r="H57">
        <f t="shared" si="1"/>
        <v>0.99955572303139906</v>
      </c>
      <c r="I57">
        <f t="shared" si="2"/>
        <v>0.99912865872840162</v>
      </c>
    </row>
    <row r="58" spans="1:9" ht="43.2" x14ac:dyDescent="0.3">
      <c r="A58" s="20" t="s">
        <v>132</v>
      </c>
      <c r="B58" s="20" t="s">
        <v>133</v>
      </c>
      <c r="C58" s="16">
        <v>2.5499999999999998</v>
      </c>
      <c r="D58" s="16">
        <v>-0.67768520265549548</v>
      </c>
      <c r="E58" s="16">
        <v>1.3657600000000001</v>
      </c>
      <c r="F58" s="16">
        <v>-14.346871097471393</v>
      </c>
      <c r="G58" t="str">
        <f t="shared" si="0"/>
        <v>0-5</v>
      </c>
      <c r="H58">
        <f t="shared" si="1"/>
        <v>2.9771241665927279</v>
      </c>
      <c r="I58">
        <f t="shared" si="2"/>
        <v>2.5853091178073657</v>
      </c>
    </row>
    <row r="59" spans="1:9" ht="28.8" x14ac:dyDescent="0.3">
      <c r="A59" s="21" t="s">
        <v>136</v>
      </c>
      <c r="B59" s="21" t="s">
        <v>137</v>
      </c>
      <c r="C59" s="17">
        <v>2.0099999999999998</v>
      </c>
      <c r="D59" s="17">
        <v>-0.15940971873374071</v>
      </c>
      <c r="E59" s="17">
        <v>0.28819</v>
      </c>
      <c r="F59" s="17">
        <v>-3.8710864471212432</v>
      </c>
      <c r="G59" t="str">
        <f t="shared" si="0"/>
        <v>0-5</v>
      </c>
      <c r="H59">
        <f t="shared" si="1"/>
        <v>2.0909421793208298</v>
      </c>
      <c r="I59">
        <f t="shared" si="2"/>
        <v>2.0158093609974586</v>
      </c>
    </row>
    <row r="60" spans="1:9" ht="28.8" x14ac:dyDescent="0.3">
      <c r="A60" s="20" t="s">
        <v>134</v>
      </c>
      <c r="B60" s="20" t="s">
        <v>135</v>
      </c>
      <c r="C60" s="16">
        <v>8.98</v>
      </c>
      <c r="D60" s="16">
        <v>-0.56416051559823477</v>
      </c>
      <c r="E60" s="16">
        <v>-0.78042999999999996</v>
      </c>
      <c r="F60" s="16">
        <v>-2.8260044865838125</v>
      </c>
      <c r="G60" t="str">
        <f t="shared" si="0"/>
        <v>&gt;5</v>
      </c>
      <c r="H60">
        <f t="shared" si="1"/>
        <v>9.2411554681418746</v>
      </c>
      <c r="I60">
        <f t="shared" si="2"/>
        <v>8.9104600962706737</v>
      </c>
    </row>
    <row r="61" spans="1:9" x14ac:dyDescent="0.3">
      <c r="A61" s="21" t="s">
        <v>138</v>
      </c>
      <c r="B61" s="21" t="s">
        <v>139</v>
      </c>
      <c r="C61" s="17">
        <v>88.75</v>
      </c>
      <c r="D61" s="17">
        <v>-0.72788565888266055</v>
      </c>
      <c r="E61" s="17">
        <v>1.1672199999999999</v>
      </c>
      <c r="F61" s="17">
        <v>-8.2018127262532694</v>
      </c>
      <c r="G61" t="str">
        <f t="shared" si="0"/>
        <v>&gt;5</v>
      </c>
      <c r="H61">
        <f t="shared" si="1"/>
        <v>96.679468991411682</v>
      </c>
      <c r="I61">
        <f t="shared" si="2"/>
        <v>89.798141871553142</v>
      </c>
    </row>
    <row r="62" spans="1:9" x14ac:dyDescent="0.3">
      <c r="A62" s="20" t="s">
        <v>140</v>
      </c>
      <c r="B62" s="20" t="s">
        <v>141</v>
      </c>
      <c r="C62" s="16">
        <v>0.99830099999999999</v>
      </c>
      <c r="D62" s="16">
        <v>-1.0009879803440602E-2</v>
      </c>
      <c r="E62" s="16">
        <v>-0.02</v>
      </c>
      <c r="F62" s="16">
        <v>-7.9980589497204088E-2</v>
      </c>
      <c r="G62" t="str">
        <f t="shared" si="0"/>
        <v>0-5</v>
      </c>
      <c r="H62">
        <f t="shared" si="1"/>
        <v>0.99910008613856072</v>
      </c>
      <c r="I62">
        <f t="shared" si="2"/>
        <v>0.99810137972405522</v>
      </c>
    </row>
    <row r="63" spans="1:9" x14ac:dyDescent="0.3">
      <c r="A63" s="21" t="s">
        <v>142</v>
      </c>
      <c r="B63" s="21" t="s">
        <v>143</v>
      </c>
      <c r="C63" s="17">
        <v>1.9</v>
      </c>
      <c r="D63" s="17">
        <v>-6.9964460628921921E-2</v>
      </c>
      <c r="E63" s="17">
        <v>5.7377799999999999</v>
      </c>
      <c r="F63" s="17">
        <v>-3.5161602546571928</v>
      </c>
      <c r="G63" t="str">
        <f t="shared" si="0"/>
        <v>0-5</v>
      </c>
      <c r="H63">
        <f t="shared" si="1"/>
        <v>1.9692416937539132</v>
      </c>
      <c r="I63">
        <f t="shared" si="2"/>
        <v>2.0156537794250973</v>
      </c>
    </row>
    <row r="64" spans="1:9" x14ac:dyDescent="0.3">
      <c r="A64" s="20" t="s">
        <v>144</v>
      </c>
      <c r="B64" s="20" t="s">
        <v>145</v>
      </c>
      <c r="C64" s="16">
        <v>0.99926000000000004</v>
      </c>
      <c r="D64" s="16">
        <v>7.3147164101177733E-4</v>
      </c>
      <c r="E64" s="16">
        <v>1.034E-2</v>
      </c>
      <c r="F64" s="16">
        <v>-8.9254343215381827E-3</v>
      </c>
      <c r="G64" t="str">
        <f t="shared" si="0"/>
        <v>0-5</v>
      </c>
      <c r="H64">
        <f t="shared" si="1"/>
        <v>0.9993491962561547</v>
      </c>
      <c r="I64">
        <f t="shared" si="2"/>
        <v>0.99936333416875311</v>
      </c>
    </row>
    <row r="65" spans="1:9" x14ac:dyDescent="0.3">
      <c r="A65" s="21" t="s">
        <v>146</v>
      </c>
      <c r="B65" s="21" t="s">
        <v>147</v>
      </c>
      <c r="C65" s="17">
        <v>8</v>
      </c>
      <c r="D65" s="17">
        <v>0.20980787852562544</v>
      </c>
      <c r="E65" s="17">
        <v>0.64693000000000001</v>
      </c>
      <c r="F65" s="17">
        <v>-4.0416454085957367</v>
      </c>
      <c r="G65" t="str">
        <f t="shared" si="0"/>
        <v>&gt;5</v>
      </c>
      <c r="H65">
        <f t="shared" si="1"/>
        <v>8.336949955076264</v>
      </c>
      <c r="I65">
        <f t="shared" si="2"/>
        <v>8.0520913948607724</v>
      </c>
    </row>
    <row r="66" spans="1:9" x14ac:dyDescent="0.3">
      <c r="A66" s="20" t="s">
        <v>148</v>
      </c>
      <c r="B66" s="20" t="s">
        <v>149</v>
      </c>
      <c r="C66" s="16">
        <v>73.64</v>
      </c>
      <c r="D66" s="16">
        <v>-9.0844698906063295E-2</v>
      </c>
      <c r="E66" s="16">
        <v>1.5471900000000001</v>
      </c>
      <c r="F66" s="16">
        <v>-4.6706862453354789</v>
      </c>
      <c r="G66" t="str">
        <f t="shared" si="0"/>
        <v>&gt;5</v>
      </c>
      <c r="H66">
        <f t="shared" si="1"/>
        <v>77.248012284570493</v>
      </c>
      <c r="I66">
        <f t="shared" si="2"/>
        <v>74.797255659843529</v>
      </c>
    </row>
    <row r="67" spans="1:9" ht="72" x14ac:dyDescent="0.3">
      <c r="A67" s="21" t="s">
        <v>152</v>
      </c>
      <c r="B67" s="21" t="s">
        <v>153</v>
      </c>
      <c r="C67" s="17">
        <v>1.22</v>
      </c>
      <c r="D67" s="17">
        <v>5.9546031291903272E-2</v>
      </c>
      <c r="E67" s="17">
        <v>0.35172999999999999</v>
      </c>
      <c r="F67" s="17">
        <v>-0.64773590649508916</v>
      </c>
      <c r="G67" t="str">
        <f t="shared" ref="G67:G130" si="3">IF(C67&lt;=5,"0-5","&gt;5")</f>
        <v>0-5</v>
      </c>
      <c r="H67">
        <f t="shared" ref="H67:H130" si="4">C67/(1+(F67/100))</f>
        <v>1.2279538983145897</v>
      </c>
      <c r="I67">
        <f t="shared" ref="I67:I130" si="5">C67/(1-(E67/100))</f>
        <v>1.2243062523815014</v>
      </c>
    </row>
    <row r="68" spans="1:9" ht="28.8" x14ac:dyDescent="0.3">
      <c r="A68" s="20" t="s">
        <v>150</v>
      </c>
      <c r="B68" s="20" t="s">
        <v>151</v>
      </c>
      <c r="C68" s="16">
        <v>2.06</v>
      </c>
      <c r="D68" s="16">
        <v>-0.36321184248508648</v>
      </c>
      <c r="E68" s="16">
        <v>2.6810700000000001</v>
      </c>
      <c r="F68" s="16">
        <v>2.7892255445955718</v>
      </c>
      <c r="G68" t="str">
        <f t="shared" si="3"/>
        <v>0-5</v>
      </c>
      <c r="H68">
        <f t="shared" si="4"/>
        <v>2.0041011001744145</v>
      </c>
      <c r="I68">
        <f t="shared" si="5"/>
        <v>2.1167515919050897</v>
      </c>
    </row>
    <row r="69" spans="1:9" x14ac:dyDescent="0.3">
      <c r="A69" s="21" t="s">
        <v>154</v>
      </c>
      <c r="B69" s="21" t="s">
        <v>155</v>
      </c>
      <c r="C69" s="17">
        <v>0.115578</v>
      </c>
      <c r="D69" s="17">
        <v>3.4521222066742678E-2</v>
      </c>
      <c r="E69" s="17">
        <v>1.29657</v>
      </c>
      <c r="F69" s="17">
        <v>-1.1306691103516555</v>
      </c>
      <c r="G69" t="str">
        <f t="shared" si="3"/>
        <v>0-5</v>
      </c>
      <c r="H69">
        <f t="shared" si="4"/>
        <v>0.11689974935604734</v>
      </c>
      <c r="I69">
        <f t="shared" si="5"/>
        <v>0.11709623464959627</v>
      </c>
    </row>
    <row r="70" spans="1:9" ht="28.8" x14ac:dyDescent="0.3">
      <c r="A70" s="20" t="s">
        <v>156</v>
      </c>
      <c r="B70" s="20" t="s">
        <v>157</v>
      </c>
      <c r="C70" s="16">
        <v>1</v>
      </c>
      <c r="D70" s="16">
        <v>3.6520957212520331E-3</v>
      </c>
      <c r="E70" s="16">
        <v>2.7009999999999999E-2</v>
      </c>
      <c r="F70" s="16">
        <v>2.9818843530029011E-2</v>
      </c>
      <c r="G70" t="str">
        <f t="shared" si="3"/>
        <v>0-5</v>
      </c>
      <c r="H70">
        <f t="shared" si="4"/>
        <v>0.99970190045453666</v>
      </c>
      <c r="I70">
        <f t="shared" si="5"/>
        <v>1.0002701729737202</v>
      </c>
    </row>
    <row r="71" spans="1:9" x14ac:dyDescent="0.3">
      <c r="A71" s="21" t="s">
        <v>158</v>
      </c>
      <c r="B71" s="21" t="s">
        <v>159</v>
      </c>
      <c r="C71" s="17">
        <v>1.93</v>
      </c>
      <c r="D71" s="17">
        <v>-1.536708769952134</v>
      </c>
      <c r="E71" s="17">
        <v>3.1774300000000002</v>
      </c>
      <c r="F71" s="17">
        <v>3.2769830750706395</v>
      </c>
      <c r="G71" t="str">
        <f t="shared" si="3"/>
        <v>0-5</v>
      </c>
      <c r="H71">
        <f t="shared" si="4"/>
        <v>1.8687610177352962</v>
      </c>
      <c r="I71">
        <f t="shared" si="5"/>
        <v>1.9933368841583115</v>
      </c>
    </row>
    <row r="72" spans="1:9" ht="86.4" x14ac:dyDescent="0.3">
      <c r="A72" s="20" t="s">
        <v>160</v>
      </c>
      <c r="B72" s="20" t="s">
        <v>161</v>
      </c>
      <c r="C72" s="16">
        <v>1.1000000000000001</v>
      </c>
      <c r="D72" s="16">
        <v>0</v>
      </c>
      <c r="E72" s="16">
        <v>1.123E-2</v>
      </c>
      <c r="F72" s="16">
        <v>8.1673351916064146E-2</v>
      </c>
      <c r="G72" t="str">
        <f t="shared" si="3"/>
        <v>0-5</v>
      </c>
      <c r="H72">
        <f t="shared" si="4"/>
        <v>1.0991023262891322</v>
      </c>
      <c r="I72">
        <f t="shared" si="5"/>
        <v>1.1001235438739771</v>
      </c>
    </row>
    <row r="73" spans="1:9" ht="129.6" x14ac:dyDescent="0.3">
      <c r="A73" s="21" t="s">
        <v>162</v>
      </c>
      <c r="B73" s="21" t="s">
        <v>163</v>
      </c>
      <c r="C73" s="17">
        <v>11.09</v>
      </c>
      <c r="D73" s="17">
        <v>0</v>
      </c>
      <c r="E73" s="17">
        <v>9.6200000000000001E-3</v>
      </c>
      <c r="F73" s="17">
        <v>6.6244584572892867E-2</v>
      </c>
      <c r="G73" t="str">
        <f t="shared" si="3"/>
        <v>&gt;5</v>
      </c>
      <c r="H73">
        <f t="shared" si="4"/>
        <v>11.082658339023681</v>
      </c>
      <c r="I73">
        <f t="shared" si="5"/>
        <v>11.091066960641614</v>
      </c>
    </row>
    <row r="74" spans="1:9" ht="28.8" x14ac:dyDescent="0.3">
      <c r="A74" s="20" t="s">
        <v>164</v>
      </c>
      <c r="B74" s="20" t="s">
        <v>165</v>
      </c>
      <c r="C74" s="16">
        <v>9.1508000000000006E-2</v>
      </c>
      <c r="D74" s="16">
        <v>3.8823601440828505E-2</v>
      </c>
      <c r="E74" s="16">
        <v>1.5019</v>
      </c>
      <c r="F74" s="16">
        <v>-3.0048907592840153</v>
      </c>
      <c r="G74" t="str">
        <f t="shared" si="3"/>
        <v>0-5</v>
      </c>
      <c r="H74">
        <f t="shared" si="4"/>
        <v>9.4342901117727043E-2</v>
      </c>
      <c r="I74">
        <f t="shared" si="5"/>
        <v>9.2903314886276997E-2</v>
      </c>
    </row>
    <row r="75" spans="1:9" ht="28.8" x14ac:dyDescent="0.3">
      <c r="A75" s="21" t="s">
        <v>168</v>
      </c>
      <c r="B75" s="21" t="s">
        <v>169</v>
      </c>
      <c r="C75" s="17">
        <v>105.74</v>
      </c>
      <c r="D75" s="17">
        <v>0</v>
      </c>
      <c r="E75" s="17">
        <v>0</v>
      </c>
      <c r="F75" s="17">
        <v>-0.12279210352319792</v>
      </c>
      <c r="G75" t="str">
        <f t="shared" si="3"/>
        <v>&gt;5</v>
      </c>
      <c r="H75">
        <f t="shared" si="4"/>
        <v>105.87</v>
      </c>
      <c r="I75">
        <f t="shared" si="5"/>
        <v>105.74</v>
      </c>
    </row>
    <row r="76" spans="1:9" x14ac:dyDescent="0.3">
      <c r="A76" s="20" t="s">
        <v>166</v>
      </c>
      <c r="B76" s="20" t="s">
        <v>167</v>
      </c>
      <c r="C76" s="16">
        <v>0.10625999999999999</v>
      </c>
      <c r="D76" s="16">
        <v>-0.92173924283602915</v>
      </c>
      <c r="E76" s="16">
        <v>0.46399000000000001</v>
      </c>
      <c r="F76" s="16">
        <v>-8.896123708383346</v>
      </c>
      <c r="G76" t="str">
        <f t="shared" si="3"/>
        <v>0-5</v>
      </c>
      <c r="H76">
        <f t="shared" si="4"/>
        <v>0.11663609093851257</v>
      </c>
      <c r="I76">
        <f t="shared" si="5"/>
        <v>0.10675533407457261</v>
      </c>
    </row>
    <row r="77" spans="1:9" x14ac:dyDescent="0.3">
      <c r="A77" s="21" t="s">
        <v>170</v>
      </c>
      <c r="B77" s="21" t="s">
        <v>171</v>
      </c>
      <c r="C77" s="17">
        <v>3.4611650000000001E-2</v>
      </c>
      <c r="D77" s="17">
        <v>-1.2834753987679129E-2</v>
      </c>
      <c r="E77" s="17">
        <v>1.4296800000000001</v>
      </c>
      <c r="F77" s="17">
        <v>-6.3114970334573002</v>
      </c>
      <c r="G77" t="str">
        <f t="shared" si="3"/>
        <v>0-5</v>
      </c>
      <c r="H77">
        <f t="shared" si="4"/>
        <v>3.6943326986834488E-2</v>
      </c>
      <c r="I77">
        <f t="shared" si="5"/>
        <v>3.5113663017427556E-2</v>
      </c>
    </row>
    <row r="78" spans="1:9" ht="28.8" x14ac:dyDescent="0.3">
      <c r="A78" s="20" t="s">
        <v>172</v>
      </c>
      <c r="B78" s="20" t="s">
        <v>173</v>
      </c>
      <c r="C78" s="16">
        <v>0.26061099999999998</v>
      </c>
      <c r="D78" s="16">
        <v>-1.3984860526017806</v>
      </c>
      <c r="E78" s="16">
        <v>8.4536599999999993</v>
      </c>
      <c r="F78" s="16">
        <v>1.293213257277972</v>
      </c>
      <c r="G78" t="str">
        <f t="shared" si="3"/>
        <v>0-5</v>
      </c>
      <c r="H78">
        <f t="shared" si="4"/>
        <v>0.25728377214973475</v>
      </c>
      <c r="I78">
        <f t="shared" si="5"/>
        <v>0.28467659111221699</v>
      </c>
    </row>
    <row r="79" spans="1:9" x14ac:dyDescent="0.3">
      <c r="A79" s="21" t="s">
        <v>174</v>
      </c>
      <c r="B79" s="21" t="s">
        <v>175</v>
      </c>
      <c r="C79" s="17">
        <v>0.87499899999999997</v>
      </c>
      <c r="D79" s="17">
        <v>-3.8154939888950794E-2</v>
      </c>
      <c r="E79" s="17">
        <v>-1.7375499999999999</v>
      </c>
      <c r="F79" s="17">
        <v>-2.6357846277267436</v>
      </c>
      <c r="G79" t="str">
        <f t="shared" si="3"/>
        <v>0-5</v>
      </c>
      <c r="H79">
        <f t="shared" si="4"/>
        <v>0.8986864390109145</v>
      </c>
      <c r="I79">
        <f t="shared" si="5"/>
        <v>0.86005511239458787</v>
      </c>
    </row>
    <row r="80" spans="1:9" x14ac:dyDescent="0.3">
      <c r="A80" s="20" t="s">
        <v>176</v>
      </c>
      <c r="B80" s="20" t="s">
        <v>177</v>
      </c>
      <c r="C80" s="16">
        <v>3.4954939999999997E-2</v>
      </c>
      <c r="D80" s="16">
        <v>0.14167470231893425</v>
      </c>
      <c r="E80" s="16">
        <v>1.4436500000000001</v>
      </c>
      <c r="F80" s="16">
        <v>-11.232735821622622</v>
      </c>
      <c r="G80" t="str">
        <f t="shared" si="3"/>
        <v>0-5</v>
      </c>
      <c r="H80">
        <f t="shared" si="4"/>
        <v>3.9378187807791641E-2</v>
      </c>
      <c r="I80">
        <f t="shared" si="5"/>
        <v>3.5466958749994289E-2</v>
      </c>
    </row>
    <row r="81" spans="1:9" x14ac:dyDescent="0.3">
      <c r="A81" s="21" t="s">
        <v>178</v>
      </c>
      <c r="B81" s="21" t="s">
        <v>179</v>
      </c>
      <c r="C81" s="17">
        <v>9.2516000000000001E-2</v>
      </c>
      <c r="D81" s="17">
        <v>0.27689853311011403</v>
      </c>
      <c r="E81" s="17">
        <v>-0.55352999999999997</v>
      </c>
      <c r="F81" s="17">
        <v>4.4561859262116386</v>
      </c>
      <c r="G81" t="str">
        <f t="shared" si="3"/>
        <v>0-5</v>
      </c>
      <c r="H81">
        <f t="shared" si="4"/>
        <v>8.8569192125542234E-2</v>
      </c>
      <c r="I81">
        <f t="shared" si="5"/>
        <v>9.2006715229191849E-2</v>
      </c>
    </row>
    <row r="82" spans="1:9" x14ac:dyDescent="0.3">
      <c r="A82" s="20" t="s">
        <v>180</v>
      </c>
      <c r="B82" s="20" t="s">
        <v>181</v>
      </c>
      <c r="C82" s="16">
        <v>0.95929299999999995</v>
      </c>
      <c r="D82" s="16">
        <v>-0.93372226689195204</v>
      </c>
      <c r="E82" s="16">
        <v>1.6013900000000001</v>
      </c>
      <c r="F82" s="16">
        <v>-7.019568455126433</v>
      </c>
      <c r="G82" t="str">
        <f t="shared" si="3"/>
        <v>0-5</v>
      </c>
      <c r="H82">
        <f t="shared" si="4"/>
        <v>1.0317149362089513</v>
      </c>
      <c r="I82">
        <f t="shared" si="5"/>
        <v>0.97490503168693132</v>
      </c>
    </row>
    <row r="83" spans="1:9" ht="28.8" x14ac:dyDescent="0.3">
      <c r="A83" s="21" t="s">
        <v>182</v>
      </c>
      <c r="B83" s="21" t="s">
        <v>183</v>
      </c>
      <c r="C83" s="17">
        <v>16.89</v>
      </c>
      <c r="D83" s="17">
        <v>-5.6718009400309854E-2</v>
      </c>
      <c r="E83" s="17">
        <v>-2.3229099999999998</v>
      </c>
      <c r="F83" s="17">
        <v>22.03687715400676</v>
      </c>
      <c r="G83" t="str">
        <f t="shared" si="3"/>
        <v>&gt;5</v>
      </c>
      <c r="H83">
        <f t="shared" si="4"/>
        <v>13.840078830176346</v>
      </c>
      <c r="I83">
        <f t="shared" si="5"/>
        <v>16.506567297587608</v>
      </c>
    </row>
    <row r="84" spans="1:9" x14ac:dyDescent="0.3">
      <c r="A84" s="20" t="s">
        <v>184</v>
      </c>
      <c r="B84" s="20" t="s">
        <v>185</v>
      </c>
      <c r="C84" s="16">
        <v>0.98548500000000006</v>
      </c>
      <c r="D84" s="16">
        <v>-0.7649258471107746</v>
      </c>
      <c r="E84" s="16">
        <v>3.1208200000000001</v>
      </c>
      <c r="F84" s="16">
        <v>-5.4094864130691684</v>
      </c>
      <c r="G84" t="str">
        <f t="shared" si="3"/>
        <v>0-5</v>
      </c>
      <c r="H84">
        <f t="shared" si="4"/>
        <v>1.041843375862757</v>
      </c>
      <c r="I84">
        <f t="shared" si="5"/>
        <v>1.0172309468350167</v>
      </c>
    </row>
    <row r="85" spans="1:9" x14ac:dyDescent="0.3">
      <c r="A85" s="21" t="s">
        <v>186</v>
      </c>
      <c r="B85" s="21" t="s">
        <v>187</v>
      </c>
      <c r="C85" s="17">
        <v>7.01</v>
      </c>
      <c r="D85" s="17">
        <v>-0.93137384136615964</v>
      </c>
      <c r="E85" s="17">
        <v>0.16386999999999999</v>
      </c>
      <c r="F85" s="17">
        <v>-3.6393198685997072</v>
      </c>
      <c r="G85" t="str">
        <f t="shared" si="3"/>
        <v>&gt;5</v>
      </c>
      <c r="H85">
        <f t="shared" si="4"/>
        <v>7.2747514758519296</v>
      </c>
      <c r="I85">
        <f t="shared" si="5"/>
        <v>7.0215061421150837</v>
      </c>
    </row>
    <row r="86" spans="1:9" x14ac:dyDescent="0.3">
      <c r="A86" s="20" t="s">
        <v>188</v>
      </c>
      <c r="B86" s="20" t="s">
        <v>189</v>
      </c>
      <c r="C86" s="16">
        <v>8.4871300000000007E-3</v>
      </c>
      <c r="D86" s="16">
        <v>-0.28081130095493589</v>
      </c>
      <c r="E86" s="16">
        <v>2.0306500000000001</v>
      </c>
      <c r="F86" s="16">
        <v>-2.1574832681693898</v>
      </c>
      <c r="G86" t="str">
        <f t="shared" si="3"/>
        <v>0-5</v>
      </c>
      <c r="H86">
        <f t="shared" si="4"/>
        <v>8.6742760545108974E-3</v>
      </c>
      <c r="I86">
        <f t="shared" si="5"/>
        <v>8.6630461465754347E-3</v>
      </c>
    </row>
    <row r="87" spans="1:9" ht="28.8" x14ac:dyDescent="0.3">
      <c r="A87" s="21" t="s">
        <v>190</v>
      </c>
      <c r="B87" s="21" t="s">
        <v>191</v>
      </c>
      <c r="C87" s="17">
        <v>3.5748380000000003E-2</v>
      </c>
      <c r="D87" s="17">
        <v>-3.2478520796764006E-2</v>
      </c>
      <c r="E87" s="17">
        <v>0.22980999999999999</v>
      </c>
      <c r="F87" s="17">
        <v>8.2376586786797397</v>
      </c>
      <c r="G87" t="str">
        <f t="shared" si="3"/>
        <v>0-5</v>
      </c>
      <c r="H87">
        <f t="shared" si="4"/>
        <v>3.3027673026561497E-2</v>
      </c>
      <c r="I87">
        <f t="shared" si="5"/>
        <v>3.5830722583569299E-2</v>
      </c>
    </row>
    <row r="88" spans="1:9" x14ac:dyDescent="0.3">
      <c r="A88" s="20" t="s">
        <v>192</v>
      </c>
      <c r="B88" s="20" t="s">
        <v>193</v>
      </c>
      <c r="C88" s="16">
        <v>0.21218899999999999</v>
      </c>
      <c r="D88" s="16">
        <v>-1.3785026420975171</v>
      </c>
      <c r="E88" s="16">
        <v>3.4136000000000002</v>
      </c>
      <c r="F88" s="16">
        <v>-4.1658289097265229</v>
      </c>
      <c r="G88" t="str">
        <f t="shared" si="3"/>
        <v>0-5</v>
      </c>
      <c r="H88">
        <f t="shared" si="4"/>
        <v>0.22141267314778887</v>
      </c>
      <c r="I88">
        <f t="shared" si="5"/>
        <v>0.21968827909519351</v>
      </c>
    </row>
    <row r="89" spans="1:9" x14ac:dyDescent="0.3">
      <c r="A89" s="21" t="s">
        <v>194</v>
      </c>
      <c r="B89" s="21" t="s">
        <v>195</v>
      </c>
      <c r="C89" s="17">
        <v>0.11032599999999999</v>
      </c>
      <c r="D89" s="17">
        <v>-1.1177254384630504</v>
      </c>
      <c r="E89" s="17">
        <v>-2.4925799999999998</v>
      </c>
      <c r="F89" s="17">
        <v>-15.228825902003171</v>
      </c>
      <c r="G89" t="str">
        <f t="shared" si="3"/>
        <v>0-5</v>
      </c>
      <c r="H89">
        <f t="shared" si="4"/>
        <v>0.13014565525830912</v>
      </c>
      <c r="I89">
        <f t="shared" si="5"/>
        <v>0.10764291424803628</v>
      </c>
    </row>
    <row r="90" spans="1:9" x14ac:dyDescent="0.3">
      <c r="A90" s="20" t="s">
        <v>196</v>
      </c>
      <c r="B90" s="20" t="s">
        <v>197</v>
      </c>
      <c r="C90" s="16">
        <v>1.7726700000000001E-3</v>
      </c>
      <c r="D90" s="16">
        <v>-0.75974920005497459</v>
      </c>
      <c r="E90" s="16">
        <v>3.70689</v>
      </c>
      <c r="F90" s="16">
        <v>-4.2158166934426378</v>
      </c>
      <c r="G90" t="str">
        <f t="shared" si="3"/>
        <v>0-5</v>
      </c>
      <c r="H90">
        <f t="shared" si="4"/>
        <v>1.8506917726975531E-3</v>
      </c>
      <c r="I90">
        <f t="shared" si="5"/>
        <v>1.8409105282818261E-3</v>
      </c>
    </row>
    <row r="91" spans="1:9" x14ac:dyDescent="0.3">
      <c r="A91" s="21" t="s">
        <v>198</v>
      </c>
      <c r="B91" s="21" t="s">
        <v>199</v>
      </c>
      <c r="C91" s="17">
        <v>13.39</v>
      </c>
      <c r="D91" s="17">
        <v>-1.4819695960968398</v>
      </c>
      <c r="E91" s="17">
        <v>-4.5962100000000001</v>
      </c>
      <c r="F91" s="17">
        <v>9.1321532709053184</v>
      </c>
      <c r="G91" t="str">
        <f t="shared" si="3"/>
        <v>&gt;5</v>
      </c>
      <c r="H91">
        <f t="shared" si="4"/>
        <v>12.269527906006948</v>
      </c>
      <c r="I91">
        <f t="shared" si="5"/>
        <v>12.801611071758721</v>
      </c>
    </row>
    <row r="92" spans="1:9" x14ac:dyDescent="0.3">
      <c r="A92" s="20" t="s">
        <v>200</v>
      </c>
      <c r="B92" s="20" t="s">
        <v>201</v>
      </c>
      <c r="C92" s="16">
        <v>48.18</v>
      </c>
      <c r="D92" s="16">
        <v>0.37147373851804905</v>
      </c>
      <c r="E92" s="16">
        <v>3.3366099999999999</v>
      </c>
      <c r="F92" s="16">
        <v>9.2307544775422112</v>
      </c>
      <c r="G92" t="str">
        <f t="shared" si="3"/>
        <v>&gt;5</v>
      </c>
      <c r="H92">
        <f t="shared" si="4"/>
        <v>44.108456661723224</v>
      </c>
      <c r="I92">
        <f t="shared" si="5"/>
        <v>49.843068818505124</v>
      </c>
    </row>
    <row r="93" spans="1:9" x14ac:dyDescent="0.3">
      <c r="A93" s="21" t="s">
        <v>202</v>
      </c>
      <c r="B93" s="21" t="s">
        <v>203</v>
      </c>
      <c r="C93" s="17">
        <v>7.8797000000000006E-2</v>
      </c>
      <c r="D93" s="17">
        <v>-0.1827800413121955</v>
      </c>
      <c r="E93" s="17">
        <v>-4.3470000000000002E-2</v>
      </c>
      <c r="F93" s="17">
        <v>-0.14256689116433208</v>
      </c>
      <c r="G93" t="str">
        <f t="shared" si="3"/>
        <v>0-5</v>
      </c>
      <c r="H93">
        <f t="shared" si="4"/>
        <v>7.8909498819300039E-2</v>
      </c>
      <c r="I93">
        <f t="shared" si="5"/>
        <v>7.8762761827433622E-2</v>
      </c>
    </row>
    <row r="94" spans="1:9" ht="28.8" x14ac:dyDescent="0.3">
      <c r="A94" s="20" t="s">
        <v>204</v>
      </c>
      <c r="B94" s="20" t="s">
        <v>205</v>
      </c>
      <c r="C94" s="16">
        <v>9.3138400000000003E-3</v>
      </c>
      <c r="D94" s="16">
        <v>0.10685062857596712</v>
      </c>
      <c r="E94" s="16">
        <v>5.4921699999999998</v>
      </c>
      <c r="F94" s="16">
        <v>3.7381059626018862</v>
      </c>
      <c r="G94" t="str">
        <f t="shared" si="3"/>
        <v>0-5</v>
      </c>
      <c r="H94">
        <f t="shared" si="4"/>
        <v>8.978224456264592E-3</v>
      </c>
      <c r="I94">
        <f t="shared" si="5"/>
        <v>9.855098778587975E-3</v>
      </c>
    </row>
    <row r="95" spans="1:9" x14ac:dyDescent="0.3">
      <c r="A95" s="21" t="s">
        <v>206</v>
      </c>
      <c r="B95" s="21" t="s">
        <v>207</v>
      </c>
      <c r="C95" s="17">
        <v>0.99903600000000004</v>
      </c>
      <c r="D95" s="17">
        <v>1.0227157700040065E-2</v>
      </c>
      <c r="E95" s="17">
        <v>9.6799999999999994E-3</v>
      </c>
      <c r="F95" s="17">
        <v>-2.7486512004468867E-2</v>
      </c>
      <c r="G95" t="str">
        <f t="shared" si="3"/>
        <v>0-5</v>
      </c>
      <c r="H95">
        <f t="shared" si="4"/>
        <v>0.99931067564882425</v>
      </c>
      <c r="I95">
        <f t="shared" si="5"/>
        <v>0.99913271604691334</v>
      </c>
    </row>
    <row r="96" spans="1:9" x14ac:dyDescent="0.3">
      <c r="A96" s="20" t="s">
        <v>208</v>
      </c>
      <c r="B96" s="20" t="s">
        <v>209</v>
      </c>
      <c r="C96" s="16">
        <v>6.5942500000000003E-3</v>
      </c>
      <c r="D96" s="16">
        <v>-0.43788924434869664</v>
      </c>
      <c r="E96" s="16">
        <v>0.25842999999999999</v>
      </c>
      <c r="F96" s="16">
        <v>-8.8862103991739332</v>
      </c>
      <c r="G96" t="str">
        <f t="shared" si="3"/>
        <v>0-5</v>
      </c>
      <c r="H96">
        <f t="shared" si="4"/>
        <v>7.2373786985369939E-3</v>
      </c>
      <c r="I96">
        <f t="shared" si="5"/>
        <v>6.611335674784345E-3</v>
      </c>
    </row>
    <row r="97" spans="1:9" x14ac:dyDescent="0.3">
      <c r="A97" s="21" t="s">
        <v>210</v>
      </c>
      <c r="B97" s="21" t="s">
        <v>211</v>
      </c>
      <c r="C97" s="17">
        <v>115.31</v>
      </c>
      <c r="D97" s="17">
        <v>0</v>
      </c>
      <c r="E97" s="17">
        <v>9.1900000000000003E-3</v>
      </c>
      <c r="F97" s="17">
        <v>6.6172595311753374E-2</v>
      </c>
      <c r="G97" t="str">
        <f t="shared" si="3"/>
        <v>&gt;5</v>
      </c>
      <c r="H97">
        <f t="shared" si="4"/>
        <v>115.23374683904161</v>
      </c>
      <c r="I97">
        <f t="shared" si="5"/>
        <v>115.3205979629528</v>
      </c>
    </row>
    <row r="98" spans="1:9" ht="28.8" x14ac:dyDescent="0.3">
      <c r="A98" s="20" t="s">
        <v>212</v>
      </c>
      <c r="B98" s="20" t="s">
        <v>213</v>
      </c>
      <c r="C98" s="16">
        <v>0.99855000000000005</v>
      </c>
      <c r="D98" s="16">
        <v>4.4487532887839989E-4</v>
      </c>
      <c r="E98" s="16">
        <v>5.0619999999999998E-2</v>
      </c>
      <c r="F98" s="16">
        <v>5.8494212316431975E-2</v>
      </c>
      <c r="G98" t="str">
        <f t="shared" si="3"/>
        <v>0-5</v>
      </c>
      <c r="H98">
        <f t="shared" si="4"/>
        <v>0.9979662475043386</v>
      </c>
      <c r="I98">
        <f t="shared" si="5"/>
        <v>0.99905572200647974</v>
      </c>
    </row>
    <row r="99" spans="1:9" x14ac:dyDescent="0.3">
      <c r="A99" s="21" t="s">
        <v>214</v>
      </c>
      <c r="B99" s="21" t="s">
        <v>215</v>
      </c>
      <c r="C99" s="17">
        <v>6.1600000000000003E-6</v>
      </c>
      <c r="D99" s="17">
        <v>-0.53513109172105677</v>
      </c>
      <c r="E99" s="17">
        <v>2.5339999999999998</v>
      </c>
      <c r="F99" s="17">
        <v>-9.2711236175321154</v>
      </c>
      <c r="G99" t="str">
        <f t="shared" si="3"/>
        <v>0-5</v>
      </c>
      <c r="H99">
        <f t="shared" si="4"/>
        <v>6.7894591508358371E-6</v>
      </c>
      <c r="I99">
        <f t="shared" si="5"/>
        <v>6.3201526686229045E-6</v>
      </c>
    </row>
    <row r="100" spans="1:9" x14ac:dyDescent="0.3">
      <c r="A100" s="20" t="s">
        <v>216</v>
      </c>
      <c r="B100" s="20" t="s">
        <v>217</v>
      </c>
      <c r="C100" s="16">
        <v>0.236182</v>
      </c>
      <c r="D100" s="16">
        <v>-0.29263925232682847</v>
      </c>
      <c r="E100" s="16">
        <v>2.7501799999999998</v>
      </c>
      <c r="F100" s="16">
        <v>5.8203748195879621</v>
      </c>
      <c r="G100" t="str">
        <f t="shared" si="3"/>
        <v>0-5</v>
      </c>
      <c r="H100">
        <f t="shared" si="4"/>
        <v>0.22319142263733632</v>
      </c>
      <c r="I100">
        <f t="shared" si="5"/>
        <v>0.2428611178920434</v>
      </c>
    </row>
    <row r="101" spans="1:9" ht="57.6" x14ac:dyDescent="0.3">
      <c r="A101" s="21" t="s">
        <v>218</v>
      </c>
      <c r="B101" s="21" t="s">
        <v>219</v>
      </c>
      <c r="C101" s="17">
        <v>1.004557E-2</v>
      </c>
      <c r="D101" s="17">
        <v>-6.1557530964273965</v>
      </c>
      <c r="E101" s="17">
        <v>-4.2564500000000001</v>
      </c>
      <c r="F101" s="17">
        <v>-4.5766535204846894</v>
      </c>
      <c r="G101" t="str">
        <f t="shared" si="3"/>
        <v>0-5</v>
      </c>
      <c r="H101">
        <f t="shared" si="4"/>
        <v>1.0527371309657956E-2</v>
      </c>
      <c r="I101">
        <f t="shared" si="5"/>
        <v>9.6354422196420469E-3</v>
      </c>
    </row>
    <row r="102" spans="1:9" x14ac:dyDescent="0.3">
      <c r="A102" s="20" t="s">
        <v>220</v>
      </c>
      <c r="B102" s="20" t="s">
        <v>221</v>
      </c>
      <c r="C102" s="16">
        <v>1.299224E-2</v>
      </c>
      <c r="D102" s="16">
        <v>0.74374329820953344</v>
      </c>
      <c r="E102" s="16">
        <v>4.8166700000000002</v>
      </c>
      <c r="F102" s="16">
        <v>0.75623263296258847</v>
      </c>
      <c r="G102" t="str">
        <f t="shared" si="3"/>
        <v>0-5</v>
      </c>
      <c r="H102">
        <f t="shared" si="4"/>
        <v>1.2894725875002164E-2</v>
      </c>
      <c r="I102">
        <f t="shared" si="5"/>
        <v>1.3649701055846649E-2</v>
      </c>
    </row>
    <row r="103" spans="1:9" x14ac:dyDescent="0.3">
      <c r="A103" s="21" t="s">
        <v>222</v>
      </c>
      <c r="B103" s="21" t="s">
        <v>223</v>
      </c>
      <c r="C103" s="17">
        <v>0.99986399999999998</v>
      </c>
      <c r="D103" s="17">
        <v>5.8097547618077491E-3</v>
      </c>
      <c r="E103" s="17">
        <v>1.2239999999999999E-2</v>
      </c>
      <c r="F103" s="17">
        <v>1.4835584255099897E-2</v>
      </c>
      <c r="G103" t="str">
        <f t="shared" si="3"/>
        <v>0-5</v>
      </c>
      <c r="H103">
        <f t="shared" si="4"/>
        <v>0.999715686337042</v>
      </c>
      <c r="I103">
        <f t="shared" si="5"/>
        <v>0.99998639833515612</v>
      </c>
    </row>
    <row r="104" spans="1:9" x14ac:dyDescent="0.3">
      <c r="A104" s="20" t="s">
        <v>224</v>
      </c>
      <c r="B104" s="20" t="s">
        <v>225</v>
      </c>
      <c r="C104" s="16">
        <v>3.027649E-2</v>
      </c>
      <c r="D104" s="16">
        <v>0.53323550554772248</v>
      </c>
      <c r="E104" s="16">
        <v>-1.4766300000000001</v>
      </c>
      <c r="F104" s="16">
        <v>-6.7427124026041891</v>
      </c>
      <c r="G104" t="str">
        <f t="shared" si="3"/>
        <v>0-5</v>
      </c>
      <c r="H104">
        <f t="shared" si="4"/>
        <v>3.2465548570003083E-2</v>
      </c>
      <c r="I104">
        <f t="shared" si="5"/>
        <v>2.9835923798415456E-2</v>
      </c>
    </row>
    <row r="105" spans="1:9" x14ac:dyDescent="0.3">
      <c r="A105" s="21" t="s">
        <v>228</v>
      </c>
      <c r="B105" s="21" t="s">
        <v>229</v>
      </c>
      <c r="C105" s="17">
        <v>0.99854200000000004</v>
      </c>
      <c r="D105" s="17">
        <v>-8.5989128240925403E-2</v>
      </c>
      <c r="E105" s="17">
        <v>-4.6580000000000003E-2</v>
      </c>
      <c r="F105" s="17">
        <v>-0.10563502589927184</v>
      </c>
      <c r="G105" t="str">
        <f t="shared" si="3"/>
        <v>0-5</v>
      </c>
      <c r="H105">
        <f t="shared" si="4"/>
        <v>0.99959792552751969</v>
      </c>
      <c r="I105">
        <f t="shared" si="5"/>
        <v>0.99807709568882819</v>
      </c>
    </row>
    <row r="106" spans="1:9" x14ac:dyDescent="0.3">
      <c r="A106" s="20" t="s">
        <v>226</v>
      </c>
      <c r="B106" s="20" t="s">
        <v>227</v>
      </c>
      <c r="C106" s="16">
        <v>4.93</v>
      </c>
      <c r="D106" s="16">
        <v>-0.94066156139839119</v>
      </c>
      <c r="E106" s="16">
        <v>-0.23676</v>
      </c>
      <c r="F106" s="16">
        <v>-1.8249166526109768</v>
      </c>
      <c r="G106" t="str">
        <f t="shared" si="3"/>
        <v>0-5</v>
      </c>
      <c r="H106">
        <f t="shared" si="4"/>
        <v>5.0216407584349794</v>
      </c>
      <c r="I106">
        <f t="shared" si="5"/>
        <v>4.9183553019870159</v>
      </c>
    </row>
    <row r="107" spans="1:9" x14ac:dyDescent="0.3">
      <c r="A107" s="21" t="s">
        <v>230</v>
      </c>
      <c r="B107" s="21" t="s">
        <v>231</v>
      </c>
      <c r="C107" s="17">
        <v>0.99967799999999996</v>
      </c>
      <c r="D107" s="17">
        <v>3.1267460640867009E-3</v>
      </c>
      <c r="E107" s="17">
        <v>7.9900000000000006E-3</v>
      </c>
      <c r="F107" s="17">
        <v>-1.3009006591644962E-2</v>
      </c>
      <c r="G107" t="str">
        <f t="shared" si="3"/>
        <v>0-5</v>
      </c>
      <c r="H107">
        <f t="shared" si="4"/>
        <v>0.9998080650970923</v>
      </c>
      <c r="I107">
        <f t="shared" si="5"/>
        <v>0.99975788065466431</v>
      </c>
    </row>
    <row r="108" spans="1:9" x14ac:dyDescent="0.3">
      <c r="A108" s="20" t="s">
        <v>234</v>
      </c>
      <c r="B108" s="20" t="s">
        <v>235</v>
      </c>
      <c r="C108" s="16">
        <v>1.38</v>
      </c>
      <c r="D108" s="16">
        <v>0.85723729515254488</v>
      </c>
      <c r="E108" s="16">
        <v>0.50178</v>
      </c>
      <c r="F108" s="16">
        <v>1.396854929538426</v>
      </c>
      <c r="G108" t="str">
        <f t="shared" si="3"/>
        <v>0-5</v>
      </c>
      <c r="H108">
        <f t="shared" si="4"/>
        <v>1.3609889586407529</v>
      </c>
      <c r="I108">
        <f t="shared" si="5"/>
        <v>1.3869594853053651</v>
      </c>
    </row>
    <row r="109" spans="1:9" ht="28.8" x14ac:dyDescent="0.3">
      <c r="A109" s="21" t="s">
        <v>232</v>
      </c>
      <c r="B109" s="21" t="s">
        <v>233</v>
      </c>
      <c r="C109" s="17">
        <v>2.04</v>
      </c>
      <c r="D109" s="17">
        <v>-0.80213476534117634</v>
      </c>
      <c r="E109" s="17">
        <v>-0.16904</v>
      </c>
      <c r="F109" s="17">
        <v>-13.813769668634448</v>
      </c>
      <c r="G109" t="str">
        <f t="shared" si="3"/>
        <v>0-5</v>
      </c>
      <c r="H109">
        <f t="shared" si="4"/>
        <v>2.366967428737381</v>
      </c>
      <c r="I109">
        <f t="shared" si="5"/>
        <v>2.0365574033653511</v>
      </c>
    </row>
    <row r="110" spans="1:9" ht="28.8" x14ac:dyDescent="0.3">
      <c r="A110" s="20" t="s">
        <v>236</v>
      </c>
      <c r="B110" s="20" t="s">
        <v>237</v>
      </c>
      <c r="C110" s="16">
        <v>0.73280100000000004</v>
      </c>
      <c r="D110" s="16">
        <v>-0.91518623852076797</v>
      </c>
      <c r="E110" s="16">
        <v>1.76427</v>
      </c>
      <c r="F110" s="16">
        <v>-4.6572740844001377</v>
      </c>
      <c r="G110" t="str">
        <f t="shared" si="3"/>
        <v>0-5</v>
      </c>
      <c r="H110">
        <f t="shared" si="4"/>
        <v>0.76859665272072952</v>
      </c>
      <c r="I110">
        <f t="shared" si="5"/>
        <v>0.74596177989413837</v>
      </c>
    </row>
    <row r="111" spans="1:9" ht="28.8" x14ac:dyDescent="0.3">
      <c r="A111" s="21" t="s">
        <v>238</v>
      </c>
      <c r="B111" s="21" t="s">
        <v>239</v>
      </c>
      <c r="C111" s="17">
        <v>1.45</v>
      </c>
      <c r="D111" s="17">
        <v>4.1447496129224208E-2</v>
      </c>
      <c r="E111" s="17">
        <v>2.7536999999999998</v>
      </c>
      <c r="F111" s="17">
        <v>-4.5586737825745454</v>
      </c>
      <c r="G111" t="str">
        <f t="shared" si="3"/>
        <v>0-5</v>
      </c>
      <c r="H111">
        <f t="shared" si="4"/>
        <v>1.5192580169063727</v>
      </c>
      <c r="I111">
        <f t="shared" si="5"/>
        <v>1.4910592999425172</v>
      </c>
    </row>
    <row r="112" spans="1:9" x14ac:dyDescent="0.3">
      <c r="A112" s="20" t="s">
        <v>240</v>
      </c>
      <c r="B112" s="20" t="s">
        <v>241</v>
      </c>
      <c r="C112" s="16">
        <v>0.248942</v>
      </c>
      <c r="D112" s="16">
        <v>-2.0648232511594364</v>
      </c>
      <c r="E112" s="16">
        <v>2.8649</v>
      </c>
      <c r="F112" s="16">
        <v>-2.3655724660467539</v>
      </c>
      <c r="G112" t="str">
        <f t="shared" si="3"/>
        <v>0-5</v>
      </c>
      <c r="H112">
        <f t="shared" si="4"/>
        <v>0.25497358492057343</v>
      </c>
      <c r="I112">
        <f t="shared" si="5"/>
        <v>0.2562842885836325</v>
      </c>
    </row>
    <row r="113" spans="1:9" x14ac:dyDescent="0.3">
      <c r="A113" s="21" t="s">
        <v>242</v>
      </c>
      <c r="B113" s="21" t="s">
        <v>243</v>
      </c>
      <c r="C113" s="17">
        <v>0.24349899999999999</v>
      </c>
      <c r="D113" s="17">
        <v>-0.38965096199466137</v>
      </c>
      <c r="E113" s="17">
        <v>2.0144600000000001</v>
      </c>
      <c r="F113" s="17">
        <v>-9.2811525963922445</v>
      </c>
      <c r="G113" t="str">
        <f t="shared" si="3"/>
        <v>0-5</v>
      </c>
      <c r="H113">
        <f t="shared" si="4"/>
        <v>0.26841059710191645</v>
      </c>
      <c r="I113">
        <f t="shared" si="5"/>
        <v>0.24850503451835851</v>
      </c>
    </row>
    <row r="114" spans="1:9" x14ac:dyDescent="0.3">
      <c r="A114" s="20" t="s">
        <v>244</v>
      </c>
      <c r="B114" s="20" t="s">
        <v>245</v>
      </c>
      <c r="C114" s="16">
        <v>4.3249959999999997E-2</v>
      </c>
      <c r="D114" s="16">
        <v>-1.1358438426370945</v>
      </c>
      <c r="E114" s="16">
        <v>-7.3443399999999999</v>
      </c>
      <c r="F114" s="16">
        <v>1.7245388111977915</v>
      </c>
      <c r="G114" t="str">
        <f t="shared" si="3"/>
        <v>0-5</v>
      </c>
      <c r="H114">
        <f t="shared" si="4"/>
        <v>4.2516742278156258E-2</v>
      </c>
      <c r="I114">
        <f t="shared" si="5"/>
        <v>4.0290862098551261E-2</v>
      </c>
    </row>
    <row r="115" spans="1:9" ht="57.6" x14ac:dyDescent="0.3">
      <c r="A115" s="21" t="s">
        <v>248</v>
      </c>
      <c r="B115" s="21" t="s">
        <v>249</v>
      </c>
      <c r="C115" s="17">
        <v>0.43762800000000002</v>
      </c>
      <c r="D115" s="17">
        <v>0.41786221904224868</v>
      </c>
      <c r="E115" s="17">
        <v>-0.85145000000000004</v>
      </c>
      <c r="F115" s="17">
        <v>13.129260580405759</v>
      </c>
      <c r="G115" t="str">
        <f t="shared" si="3"/>
        <v>0-5</v>
      </c>
      <c r="H115">
        <f t="shared" si="4"/>
        <v>0.38683891130797171</v>
      </c>
      <c r="I115">
        <f t="shared" si="5"/>
        <v>0.43393327512891489</v>
      </c>
    </row>
    <row r="116" spans="1:9" ht="57.6" x14ac:dyDescent="0.3">
      <c r="A116" s="20" t="s">
        <v>246</v>
      </c>
      <c r="B116" s="20" t="s">
        <v>247</v>
      </c>
      <c r="C116" s="16">
        <v>0.19362299999999999</v>
      </c>
      <c r="D116" s="16">
        <v>-1.2785764690005983</v>
      </c>
      <c r="E116" s="16">
        <v>1.5843400000000001</v>
      </c>
      <c r="F116" s="16">
        <v>-8.2902450202843294</v>
      </c>
      <c r="G116" t="str">
        <f t="shared" si="3"/>
        <v>0-5</v>
      </c>
      <c r="H116">
        <f t="shared" si="4"/>
        <v>0.21112585029021771</v>
      </c>
      <c r="I116">
        <f t="shared" si="5"/>
        <v>0.1967400310072604</v>
      </c>
    </row>
    <row r="117" spans="1:9" x14ac:dyDescent="0.3">
      <c r="A117" s="21" t="s">
        <v>250</v>
      </c>
      <c r="B117" s="21" t="s">
        <v>251</v>
      </c>
      <c r="C117" s="17">
        <v>1.1599999999999999</v>
      </c>
      <c r="D117" s="17">
        <v>2.3664700818693984E-2</v>
      </c>
      <c r="E117" s="17">
        <v>0.30115999999999998</v>
      </c>
      <c r="F117" s="17">
        <v>-0.69619386757828416</v>
      </c>
      <c r="G117" t="str">
        <f t="shared" si="3"/>
        <v>0-5</v>
      </c>
      <c r="H117">
        <f t="shared" si="4"/>
        <v>1.1681324665976438</v>
      </c>
      <c r="I117">
        <f t="shared" si="5"/>
        <v>1.1635040086725181</v>
      </c>
    </row>
    <row r="118" spans="1:9" ht="86.4" x14ac:dyDescent="0.3">
      <c r="A118" s="20" t="s">
        <v>252</v>
      </c>
      <c r="B118" s="20" t="s">
        <v>253</v>
      </c>
      <c r="C118" s="16">
        <v>1.0349999999999999</v>
      </c>
      <c r="D118" s="16">
        <v>0</v>
      </c>
      <c r="E118" s="16">
        <v>7.92E-3</v>
      </c>
      <c r="F118" s="16">
        <v>6.4771723179184532E-2</v>
      </c>
      <c r="G118" t="str">
        <f t="shared" si="3"/>
        <v>0-5</v>
      </c>
      <c r="H118">
        <f t="shared" si="4"/>
        <v>1.0343300466054535</v>
      </c>
      <c r="I118">
        <f t="shared" si="5"/>
        <v>1.0350819784926966</v>
      </c>
    </row>
    <row r="119" spans="1:9" ht="43.2" x14ac:dyDescent="0.3">
      <c r="A119" s="21" t="s">
        <v>254</v>
      </c>
      <c r="B119" s="21" t="s">
        <v>255</v>
      </c>
      <c r="C119" s="17">
        <v>7.6660000000000001E-5</v>
      </c>
      <c r="D119" s="17">
        <v>-0.47084749742235543</v>
      </c>
      <c r="E119" s="17">
        <v>-0.44874999999999998</v>
      </c>
      <c r="F119" s="17">
        <v>-6.4015324491412908</v>
      </c>
      <c r="G119" t="str">
        <f t="shared" si="3"/>
        <v>0-5</v>
      </c>
      <c r="H119">
        <f t="shared" si="4"/>
        <v>8.1903050344649245E-5</v>
      </c>
      <c r="I119">
        <f t="shared" si="5"/>
        <v>7.6317525106086442E-5</v>
      </c>
    </row>
    <row r="120" spans="1:9" ht="86.4" x14ac:dyDescent="0.3">
      <c r="A120" s="20" t="s">
        <v>256</v>
      </c>
      <c r="B120" s="20" t="s">
        <v>257</v>
      </c>
      <c r="C120" s="16">
        <v>1.17</v>
      </c>
      <c r="D120" s="16">
        <v>5.9546031291912063E-2</v>
      </c>
      <c r="E120" s="16">
        <v>0.35361999999999999</v>
      </c>
      <c r="F120" s="16">
        <v>-0.67442482501248802</v>
      </c>
      <c r="G120" t="str">
        <f t="shared" si="3"/>
        <v>0-5</v>
      </c>
      <c r="H120">
        <f t="shared" si="4"/>
        <v>1.177944349115265</v>
      </c>
      <c r="I120">
        <f t="shared" si="5"/>
        <v>1.1741520364312281</v>
      </c>
    </row>
    <row r="121" spans="1:9" x14ac:dyDescent="0.3">
      <c r="A121" s="21" t="s">
        <v>258</v>
      </c>
      <c r="B121" s="21" t="s">
        <v>259</v>
      </c>
      <c r="C121" s="17">
        <v>6.2087999999999997E-2</v>
      </c>
      <c r="D121" s="17">
        <v>-0.56684600329461188</v>
      </c>
      <c r="E121" s="17">
        <v>2.1103700000000001</v>
      </c>
      <c r="F121" s="17">
        <v>-6.3570964510338115</v>
      </c>
      <c r="G121" t="str">
        <f t="shared" si="3"/>
        <v>0-5</v>
      </c>
      <c r="H121">
        <f t="shared" si="4"/>
        <v>6.630294197096738E-2</v>
      </c>
      <c r="I121">
        <f t="shared" si="5"/>
        <v>6.3426534557337683E-2</v>
      </c>
    </row>
    <row r="122" spans="1:9" x14ac:dyDescent="0.3">
      <c r="A122" s="20" t="s">
        <v>260</v>
      </c>
      <c r="B122" s="20" t="s">
        <v>261</v>
      </c>
      <c r="C122" s="16">
        <v>3.88</v>
      </c>
      <c r="D122" s="16">
        <v>4.6932999382679169E-2</v>
      </c>
      <c r="E122" s="16">
        <v>0.31663000000000002</v>
      </c>
      <c r="F122" s="16">
        <v>-3.5257451525254302</v>
      </c>
      <c r="G122" t="str">
        <f t="shared" si="3"/>
        <v>0-5</v>
      </c>
      <c r="H122">
        <f t="shared" si="4"/>
        <v>4.0217983607484351</v>
      </c>
      <c r="I122">
        <f t="shared" si="5"/>
        <v>3.8923242663244628</v>
      </c>
    </row>
    <row r="123" spans="1:9" x14ac:dyDescent="0.3">
      <c r="A123" s="21" t="s">
        <v>262</v>
      </c>
      <c r="B123" s="21" t="s">
        <v>263</v>
      </c>
      <c r="C123" s="17">
        <v>0.99956999999999996</v>
      </c>
      <c r="D123" s="17">
        <v>-2.2825705710728492E-2</v>
      </c>
      <c r="E123" s="17">
        <v>1.243E-2</v>
      </c>
      <c r="F123" s="17">
        <v>-2.1964573362665721E-2</v>
      </c>
      <c r="G123" t="str">
        <f t="shared" si="3"/>
        <v>0-5</v>
      </c>
      <c r="H123">
        <f t="shared" si="4"/>
        <v>0.99978959952005886</v>
      </c>
      <c r="I123">
        <f t="shared" si="5"/>
        <v>0.99969426199676614</v>
      </c>
    </row>
    <row r="124" spans="1:9" ht="43.2" x14ac:dyDescent="0.3">
      <c r="A124" s="20" t="s">
        <v>264</v>
      </c>
      <c r="B124" s="20" t="s">
        <v>265</v>
      </c>
      <c r="C124" s="16">
        <v>0.42183399999999999</v>
      </c>
      <c r="D124" s="16">
        <v>-0.15854028913523016</v>
      </c>
      <c r="E124" s="16">
        <v>2.6947700000000001</v>
      </c>
      <c r="F124" s="16">
        <v>-8.5827582618479568</v>
      </c>
      <c r="G124" t="str">
        <f t="shared" si="3"/>
        <v>0-5</v>
      </c>
      <c r="H124">
        <f t="shared" si="4"/>
        <v>0.46143811821435859</v>
      </c>
      <c r="I124">
        <f t="shared" si="5"/>
        <v>0.43351626628907819</v>
      </c>
    </row>
    <row r="125" spans="1:9" ht="28.8" x14ac:dyDescent="0.3">
      <c r="A125" s="21" t="s">
        <v>266</v>
      </c>
      <c r="B125" s="21" t="s">
        <v>267</v>
      </c>
      <c r="C125" s="17">
        <v>2.0131980000000001E-2</v>
      </c>
      <c r="D125" s="17">
        <v>9.6325534298319124E-2</v>
      </c>
      <c r="E125" s="17">
        <v>1.97557</v>
      </c>
      <c r="F125" s="17">
        <v>0.52114467459328628</v>
      </c>
      <c r="G125" t="str">
        <f t="shared" si="3"/>
        <v>0-5</v>
      </c>
      <c r="H125">
        <f t="shared" si="4"/>
        <v>2.0027607191672143E-2</v>
      </c>
      <c r="I125">
        <f t="shared" si="5"/>
        <v>2.0537716975247908E-2</v>
      </c>
    </row>
    <row r="126" spans="1:9" ht="28.8" x14ac:dyDescent="0.3">
      <c r="A126" s="20" t="s">
        <v>268</v>
      </c>
      <c r="B126" s="20" t="s">
        <v>269</v>
      </c>
      <c r="C126" s="16">
        <v>0.11056000000000001</v>
      </c>
      <c r="D126" s="16">
        <v>-1.1516376048372927</v>
      </c>
      <c r="E126" s="16">
        <v>18.121580000000002</v>
      </c>
      <c r="F126" s="16">
        <v>5.5910979670554442</v>
      </c>
      <c r="G126" t="str">
        <f t="shared" si="3"/>
        <v>0-5</v>
      </c>
      <c r="H126">
        <f t="shared" si="4"/>
        <v>0.10470579634894495</v>
      </c>
      <c r="I126">
        <f t="shared" si="5"/>
        <v>0.13502947418868122</v>
      </c>
    </row>
    <row r="127" spans="1:9" x14ac:dyDescent="0.3">
      <c r="A127" s="21" t="s">
        <v>270</v>
      </c>
      <c r="B127" s="21" t="s">
        <v>271</v>
      </c>
      <c r="C127" s="17">
        <v>0.34807300000000002</v>
      </c>
      <c r="D127" s="17">
        <v>-5.5739572009547003E-2</v>
      </c>
      <c r="E127" s="17">
        <v>3.20601</v>
      </c>
      <c r="F127" s="17">
        <v>-7.5705610687768541</v>
      </c>
      <c r="G127" t="str">
        <f t="shared" si="3"/>
        <v>0-5</v>
      </c>
      <c r="H127">
        <f t="shared" si="4"/>
        <v>0.37658240061264631</v>
      </c>
      <c r="I127">
        <f t="shared" si="5"/>
        <v>0.35960187197572913</v>
      </c>
    </row>
    <row r="128" spans="1:9" ht="43.2" x14ac:dyDescent="0.3">
      <c r="A128" s="20" t="s">
        <v>272</v>
      </c>
      <c r="B128" s="20" t="s">
        <v>273</v>
      </c>
      <c r="C128" s="16">
        <v>0.99834400000000001</v>
      </c>
      <c r="D128" s="16">
        <v>3.1897769888207458E-2</v>
      </c>
      <c r="E128" s="16">
        <v>6.3159999999999994E-2</v>
      </c>
      <c r="F128" s="16">
        <v>4.5456217658799786E-2</v>
      </c>
      <c r="G128" t="str">
        <f t="shared" si="3"/>
        <v>0-5</v>
      </c>
      <c r="H128">
        <f t="shared" si="4"/>
        <v>0.9978903967692484</v>
      </c>
      <c r="I128">
        <f t="shared" si="5"/>
        <v>0.99897495258004954</v>
      </c>
    </row>
    <row r="129" spans="1:9" x14ac:dyDescent="0.3">
      <c r="A129" s="21" t="s">
        <v>274</v>
      </c>
      <c r="B129" s="21" t="s">
        <v>275</v>
      </c>
      <c r="C129" s="17">
        <v>0.51069799999999999</v>
      </c>
      <c r="D129" s="17">
        <v>-0.83747680478302855</v>
      </c>
      <c r="E129" s="17">
        <v>-5.1326999999999998</v>
      </c>
      <c r="F129" s="17">
        <v>-8.5946928314079685</v>
      </c>
      <c r="G129" t="str">
        <f t="shared" si="3"/>
        <v>0-5</v>
      </c>
      <c r="H129">
        <f t="shared" si="4"/>
        <v>0.55871810491052321</v>
      </c>
      <c r="I129">
        <f t="shared" si="5"/>
        <v>0.48576513301760538</v>
      </c>
    </row>
    <row r="130" spans="1:9" x14ac:dyDescent="0.3">
      <c r="A130" s="20" t="s">
        <v>276</v>
      </c>
      <c r="B130" s="20" t="s">
        <v>277</v>
      </c>
      <c r="C130" s="16">
        <v>0.402478</v>
      </c>
      <c r="D130" s="16">
        <v>-1.0742652871668881</v>
      </c>
      <c r="E130" s="16">
        <v>0.38993</v>
      </c>
      <c r="F130" s="16">
        <v>-10.773765529098862</v>
      </c>
      <c r="G130" t="str">
        <f t="shared" si="3"/>
        <v>0-5</v>
      </c>
      <c r="H130">
        <f t="shared" si="4"/>
        <v>0.45107585497318942</v>
      </c>
      <c r="I130">
        <f t="shared" si="5"/>
        <v>0.40405352591359489</v>
      </c>
    </row>
    <row r="131" spans="1:9" x14ac:dyDescent="0.3">
      <c r="A131" s="21" t="s">
        <v>278</v>
      </c>
      <c r="B131" s="21" t="s">
        <v>279</v>
      </c>
      <c r="C131" s="17">
        <v>6.0499999999999997E-6</v>
      </c>
      <c r="D131" s="17">
        <v>-4.7070535088897936</v>
      </c>
      <c r="E131" s="17">
        <v>44.260750000000002</v>
      </c>
      <c r="F131" s="17"/>
      <c r="G131" t="str">
        <f t="shared" ref="G131:G194" si="6">IF(C131&lt;=5,"0-5","&gt;5")</f>
        <v>0-5</v>
      </c>
      <c r="H131">
        <f t="shared" ref="H131:H194" si="7">C131/(1+(F131/100))</f>
        <v>6.0499999999999997E-6</v>
      </c>
      <c r="I131">
        <f t="shared" ref="I131:I194" si="8">C131/(1-(E131/100))</f>
        <v>1.0854110882367452E-5</v>
      </c>
    </row>
    <row r="132" spans="1:9" x14ac:dyDescent="0.3">
      <c r="A132" s="20" t="s">
        <v>280</v>
      </c>
      <c r="B132" s="20" t="s">
        <v>281</v>
      </c>
      <c r="C132" s="16">
        <v>0.38855800000000001</v>
      </c>
      <c r="D132" s="16">
        <v>-2.3028339129458826</v>
      </c>
      <c r="E132" s="16">
        <v>4.0667900000000001</v>
      </c>
      <c r="F132" s="16">
        <v>-6.3669849144861486</v>
      </c>
      <c r="G132" t="str">
        <f t="shared" si="6"/>
        <v>0-5</v>
      </c>
      <c r="H132">
        <f t="shared" si="7"/>
        <v>0.4149796945501914</v>
      </c>
      <c r="I132">
        <f t="shared" si="8"/>
        <v>0.40502970764764362</v>
      </c>
    </row>
    <row r="133" spans="1:9" ht="28.8" x14ac:dyDescent="0.3">
      <c r="A133" s="21" t="s">
        <v>282</v>
      </c>
      <c r="B133" s="21" t="s">
        <v>283</v>
      </c>
      <c r="C133" s="17">
        <v>0.23450799999999999</v>
      </c>
      <c r="D133" s="17">
        <v>-0.81519762586690392</v>
      </c>
      <c r="E133" s="17">
        <v>-1.0245599999999999</v>
      </c>
      <c r="F133" s="17">
        <v>-11.845152085276656</v>
      </c>
      <c r="G133" t="str">
        <f t="shared" si="6"/>
        <v>0-5</v>
      </c>
      <c r="H133">
        <f t="shared" si="7"/>
        <v>0.26601826847554827</v>
      </c>
      <c r="I133">
        <f t="shared" si="8"/>
        <v>0.23212969202736444</v>
      </c>
    </row>
    <row r="134" spans="1:9" x14ac:dyDescent="0.3">
      <c r="A134" s="20" t="s">
        <v>284</v>
      </c>
      <c r="B134" s="20" t="s">
        <v>285</v>
      </c>
      <c r="C134" s="16">
        <v>1.42</v>
      </c>
      <c r="D134" s="16">
        <v>3.0246675251777844</v>
      </c>
      <c r="E134" s="16">
        <v>18.801600000000001</v>
      </c>
      <c r="F134" s="16">
        <v>59.317000667836965</v>
      </c>
      <c r="G134" t="str">
        <f t="shared" si="6"/>
        <v>0-5</v>
      </c>
      <c r="H134">
        <f t="shared" si="7"/>
        <v>0.89130475344598337</v>
      </c>
      <c r="I134">
        <f t="shared" si="8"/>
        <v>1.7488029320774792</v>
      </c>
    </row>
    <row r="135" spans="1:9" ht="28.8" x14ac:dyDescent="0.3">
      <c r="A135" s="21" t="s">
        <v>286</v>
      </c>
      <c r="B135" s="21" t="s">
        <v>287</v>
      </c>
      <c r="C135" s="17">
        <v>1.38</v>
      </c>
      <c r="D135" s="17">
        <v>-0.28837439042785062</v>
      </c>
      <c r="E135" s="17">
        <v>2.7849499999999998</v>
      </c>
      <c r="F135" s="17">
        <v>-1.6269764424295274</v>
      </c>
      <c r="G135" t="str">
        <f t="shared" si="6"/>
        <v>0-5</v>
      </c>
      <c r="H135">
        <f t="shared" si="7"/>
        <v>1.4028236096579747</v>
      </c>
      <c r="I135">
        <f t="shared" si="8"/>
        <v>1.4195332924274584</v>
      </c>
    </row>
    <row r="136" spans="1:9" ht="28.8" x14ac:dyDescent="0.3">
      <c r="A136" s="20" t="s">
        <v>288</v>
      </c>
      <c r="B136" s="20" t="s">
        <v>289</v>
      </c>
      <c r="C136" s="16">
        <v>144.13</v>
      </c>
      <c r="D136" s="16">
        <v>-2.8582104671558547E-3</v>
      </c>
      <c r="E136" s="16">
        <v>0.59263999999999994</v>
      </c>
      <c r="F136" s="16">
        <v>-5.1785984029551404</v>
      </c>
      <c r="G136" t="str">
        <f t="shared" si="6"/>
        <v>&gt;5</v>
      </c>
      <c r="H136">
        <f t="shared" si="7"/>
        <v>152.00154983207065</v>
      </c>
      <c r="I136">
        <f t="shared" si="8"/>
        <v>144.98926437640029</v>
      </c>
    </row>
    <row r="137" spans="1:9" x14ac:dyDescent="0.3">
      <c r="A137" s="21" t="s">
        <v>290</v>
      </c>
      <c r="B137" s="21" t="s">
        <v>291</v>
      </c>
      <c r="C137" s="17">
        <v>0.34193800000000002</v>
      </c>
      <c r="D137" s="17">
        <v>-0.58887890381040819</v>
      </c>
      <c r="E137" s="17">
        <v>6.5104600000000001</v>
      </c>
      <c r="F137" s="17">
        <v>-8.7695096850001288</v>
      </c>
      <c r="G137" t="str">
        <f t="shared" si="6"/>
        <v>0-5</v>
      </c>
      <c r="H137">
        <f t="shared" si="7"/>
        <v>0.37480671080398603</v>
      </c>
      <c r="I137">
        <f t="shared" si="8"/>
        <v>0.36575000796880591</v>
      </c>
    </row>
    <row r="138" spans="1:9" x14ac:dyDescent="0.3">
      <c r="A138" s="20" t="s">
        <v>292</v>
      </c>
      <c r="B138" s="20" t="s">
        <v>293</v>
      </c>
      <c r="C138" s="16">
        <v>0.38308399999999998</v>
      </c>
      <c r="D138" s="16">
        <v>-0.57606204052743182</v>
      </c>
      <c r="E138" s="16">
        <v>1.26953</v>
      </c>
      <c r="F138" s="16">
        <v>-14.212334579290792</v>
      </c>
      <c r="G138" t="str">
        <f t="shared" si="6"/>
        <v>0-5</v>
      </c>
      <c r="H138">
        <f t="shared" si="7"/>
        <v>0.44654904422602831</v>
      </c>
      <c r="I138">
        <f t="shared" si="8"/>
        <v>0.38800990211026037</v>
      </c>
    </row>
    <row r="139" spans="1:9" x14ac:dyDescent="0.3">
      <c r="A139" s="21" t="s">
        <v>294</v>
      </c>
      <c r="B139" s="21" t="s">
        <v>295</v>
      </c>
      <c r="C139" s="17">
        <v>4.3899999999999997</v>
      </c>
      <c r="D139" s="17">
        <v>-2.8118704607825489E-2</v>
      </c>
      <c r="E139" s="17">
        <v>6.68072</v>
      </c>
      <c r="F139" s="17">
        <v>-19.852966232672596</v>
      </c>
      <c r="G139" t="str">
        <f t="shared" si="6"/>
        <v>0-5</v>
      </c>
      <c r="H139">
        <f t="shared" si="7"/>
        <v>5.4774329050585768</v>
      </c>
      <c r="I139">
        <f t="shared" si="8"/>
        <v>4.704279758695094</v>
      </c>
    </row>
    <row r="140" spans="1:9" x14ac:dyDescent="0.3">
      <c r="A140" s="20" t="s">
        <v>296</v>
      </c>
      <c r="B140" s="20" t="s">
        <v>297</v>
      </c>
      <c r="C140" s="16">
        <v>0.99989499999999998</v>
      </c>
      <c r="D140" s="16">
        <v>1.4221386783271795E-2</v>
      </c>
      <c r="E140" s="16">
        <v>3.98E-3</v>
      </c>
      <c r="F140" s="16">
        <v>1.7999601673864142E-2</v>
      </c>
      <c r="G140" t="str">
        <f t="shared" si="6"/>
        <v>0-5</v>
      </c>
      <c r="H140">
        <f t="shared" si="7"/>
        <v>0.99971505527217741</v>
      </c>
      <c r="I140">
        <f t="shared" si="8"/>
        <v>0.99993479740493674</v>
      </c>
    </row>
    <row r="141" spans="1:9" ht="28.8" x14ac:dyDescent="0.3">
      <c r="A141" s="21" t="s">
        <v>298</v>
      </c>
      <c r="B141" s="21" t="s">
        <v>299</v>
      </c>
      <c r="C141" s="17">
        <v>4.1979330000000002E-2</v>
      </c>
      <c r="D141" s="17">
        <v>-0.21228335426243777</v>
      </c>
      <c r="E141" s="17">
        <v>3.4300099999999998</v>
      </c>
      <c r="F141" s="17">
        <v>-16.762223293820089</v>
      </c>
      <c r="G141" t="str">
        <f t="shared" si="6"/>
        <v>0-5</v>
      </c>
      <c r="H141">
        <f t="shared" si="7"/>
        <v>5.0433026518935463E-2</v>
      </c>
      <c r="I141">
        <f t="shared" si="8"/>
        <v>4.3470367968351249E-2</v>
      </c>
    </row>
    <row r="142" spans="1:9" x14ac:dyDescent="0.3">
      <c r="A142" s="20" t="s">
        <v>302</v>
      </c>
      <c r="B142" s="20" t="s">
        <v>303</v>
      </c>
      <c r="C142" s="16">
        <v>3.9454759999999998E-2</v>
      </c>
      <c r="D142" s="16">
        <v>-2.2418454740153838E-2</v>
      </c>
      <c r="E142" s="16">
        <v>-0.53420000000000001</v>
      </c>
      <c r="F142" s="16">
        <v>50.638513123721992</v>
      </c>
      <c r="G142" t="str">
        <f t="shared" si="6"/>
        <v>0-5</v>
      </c>
      <c r="H142">
        <f t="shared" si="7"/>
        <v>2.6191681782994716E-2</v>
      </c>
      <c r="I142">
        <f t="shared" si="8"/>
        <v>3.9245112608445681E-2</v>
      </c>
    </row>
    <row r="143" spans="1:9" x14ac:dyDescent="0.3">
      <c r="A143" s="21" t="s">
        <v>300</v>
      </c>
      <c r="B143" s="21" t="s">
        <v>301</v>
      </c>
      <c r="C143" s="17">
        <v>2.7296379999999999E-2</v>
      </c>
      <c r="D143" s="17">
        <v>-1.1465244661153251</v>
      </c>
      <c r="E143" s="17">
        <v>3.7958699999999999</v>
      </c>
      <c r="F143" s="17">
        <v>-8.6853530736421334</v>
      </c>
      <c r="G143" t="str">
        <f t="shared" si="6"/>
        <v>0-5</v>
      </c>
      <c r="H143">
        <f t="shared" si="7"/>
        <v>2.9892663355544257E-2</v>
      </c>
      <c r="I143">
        <f t="shared" si="8"/>
        <v>2.8373397275148166E-2</v>
      </c>
    </row>
    <row r="144" spans="1:9" ht="28.8" x14ac:dyDescent="0.3">
      <c r="A144" s="20" t="s">
        <v>304</v>
      </c>
      <c r="B144" s="20" t="s">
        <v>305</v>
      </c>
      <c r="C144" s="16">
        <v>3.2307699999999998E-7</v>
      </c>
      <c r="D144" s="16">
        <v>-0.14271893347297124</v>
      </c>
      <c r="E144" s="16">
        <v>0.52371000000000001</v>
      </c>
      <c r="F144" s="16">
        <v>-1.0899312208431138</v>
      </c>
      <c r="G144" t="str">
        <f t="shared" si="6"/>
        <v>0-5</v>
      </c>
      <c r="H144">
        <f t="shared" si="7"/>
        <v>3.2663711994918893E-7</v>
      </c>
      <c r="I144">
        <f t="shared" si="8"/>
        <v>3.2477789431029243E-7</v>
      </c>
    </row>
    <row r="145" spans="1:9" x14ac:dyDescent="0.3">
      <c r="A145" s="21" t="s">
        <v>306</v>
      </c>
      <c r="B145" s="21" t="s">
        <v>307</v>
      </c>
      <c r="C145" s="17">
        <v>1.84</v>
      </c>
      <c r="D145" s="17">
        <v>-1.0454899598452905</v>
      </c>
      <c r="E145" s="17">
        <v>4.6445100000000004</v>
      </c>
      <c r="F145" s="17">
        <v>-7.1445817932159583</v>
      </c>
      <c r="G145" t="str">
        <f t="shared" si="6"/>
        <v>0-5</v>
      </c>
      <c r="H145">
        <f t="shared" si="7"/>
        <v>1.9815752656483854</v>
      </c>
      <c r="I145">
        <f t="shared" si="8"/>
        <v>1.9296214617532772</v>
      </c>
    </row>
    <row r="146" spans="1:9" x14ac:dyDescent="0.3">
      <c r="A146" s="20" t="s">
        <v>308</v>
      </c>
      <c r="B146" s="20" t="s">
        <v>309</v>
      </c>
      <c r="C146" s="16">
        <v>118.67</v>
      </c>
      <c r="D146" s="16">
        <v>-0.34598260317002993</v>
      </c>
      <c r="E146" s="16">
        <v>0.18432999999999999</v>
      </c>
      <c r="F146" s="16">
        <v>-6.5532931970090704</v>
      </c>
      <c r="G146" t="str">
        <f t="shared" si="6"/>
        <v>&gt;5</v>
      </c>
      <c r="H146">
        <f t="shared" si="7"/>
        <v>126.99216918386016</v>
      </c>
      <c r="I146">
        <f t="shared" si="8"/>
        <v>118.88914836718523</v>
      </c>
    </row>
    <row r="147" spans="1:9" x14ac:dyDescent="0.3">
      <c r="A147" s="21" t="s">
        <v>310</v>
      </c>
      <c r="B147" s="21" t="s">
        <v>311</v>
      </c>
      <c r="C147" s="17">
        <v>5.2684000000000002E-2</v>
      </c>
      <c r="D147" s="17">
        <v>1.1304244275461957</v>
      </c>
      <c r="E147" s="17">
        <v>2.7868599999999999</v>
      </c>
      <c r="F147" s="17">
        <v>10.006767595255427</v>
      </c>
      <c r="G147" t="str">
        <f t="shared" si="6"/>
        <v>0-5</v>
      </c>
      <c r="H147">
        <f t="shared" si="7"/>
        <v>4.7891598991289926E-2</v>
      </c>
      <c r="I147">
        <f t="shared" si="8"/>
        <v>5.4194319821373946E-2</v>
      </c>
    </row>
    <row r="148" spans="1:9" x14ac:dyDescent="0.3">
      <c r="A148" s="20" t="s">
        <v>312</v>
      </c>
      <c r="B148" s="20" t="s">
        <v>313</v>
      </c>
      <c r="C148" s="16">
        <v>1.0389999999999999</v>
      </c>
      <c r="D148" s="16">
        <v>3.6413312387483326E-2</v>
      </c>
      <c r="E148" s="16">
        <v>4.2520000000000002E-2</v>
      </c>
      <c r="F148" s="16">
        <v>0.17854974146975278</v>
      </c>
      <c r="G148" t="str">
        <f t="shared" si="6"/>
        <v>0-5</v>
      </c>
      <c r="H148">
        <f t="shared" si="7"/>
        <v>1.0371481746155655</v>
      </c>
      <c r="I148">
        <f t="shared" si="8"/>
        <v>1.0394419707259526</v>
      </c>
    </row>
    <row r="149" spans="1:9" x14ac:dyDescent="0.3">
      <c r="A149" s="21" t="s">
        <v>314</v>
      </c>
      <c r="B149" s="21" t="s">
        <v>315</v>
      </c>
      <c r="C149" s="17">
        <v>0.358068</v>
      </c>
      <c r="D149" s="17">
        <v>-0.99276731782324401</v>
      </c>
      <c r="E149" s="17">
        <v>0.12653</v>
      </c>
      <c r="F149" s="17">
        <v>-6.2938872758589577</v>
      </c>
      <c r="G149" t="str">
        <f t="shared" si="6"/>
        <v>0-5</v>
      </c>
      <c r="H149">
        <f t="shared" si="7"/>
        <v>0.38211808129754238</v>
      </c>
      <c r="I149">
        <f t="shared" si="8"/>
        <v>0.35852163742783744</v>
      </c>
    </row>
    <row r="150" spans="1:9" x14ac:dyDescent="0.3">
      <c r="A150" s="20" t="s">
        <v>316</v>
      </c>
      <c r="B150" s="20" t="s">
        <v>317</v>
      </c>
      <c r="C150" s="16">
        <v>17.489999999999998</v>
      </c>
      <c r="D150" s="16">
        <v>0.64918931790000312</v>
      </c>
      <c r="E150" s="16">
        <v>3.3765800000000001</v>
      </c>
      <c r="F150" s="16">
        <v>-6.1461130692192745</v>
      </c>
      <c r="G150" t="str">
        <f t="shared" si="6"/>
        <v>&gt;5</v>
      </c>
      <c r="H150">
        <f t="shared" si="7"/>
        <v>18.635349661010046</v>
      </c>
      <c r="I150">
        <f t="shared" si="8"/>
        <v>18.10120155134231</v>
      </c>
    </row>
    <row r="151" spans="1:9" ht="28.8" x14ac:dyDescent="0.3">
      <c r="A151" s="21" t="s">
        <v>318</v>
      </c>
      <c r="B151" s="21" t="s">
        <v>319</v>
      </c>
      <c r="C151" s="17">
        <v>15.02</v>
      </c>
      <c r="D151" s="17">
        <v>-0.22060077502847475</v>
      </c>
      <c r="E151" s="17">
        <v>-5.7029999999999997E-2</v>
      </c>
      <c r="F151" s="17">
        <v>-9.9458941707521316</v>
      </c>
      <c r="G151" t="str">
        <f t="shared" si="6"/>
        <v>&gt;5</v>
      </c>
      <c r="H151">
        <f t="shared" si="7"/>
        <v>16.678861959364198</v>
      </c>
      <c r="I151">
        <f t="shared" si="8"/>
        <v>15.011438976351787</v>
      </c>
    </row>
    <row r="152" spans="1:9" x14ac:dyDescent="0.3">
      <c r="A152" s="20" t="s">
        <v>320</v>
      </c>
      <c r="B152" s="20" t="s">
        <v>321</v>
      </c>
      <c r="C152" s="16">
        <v>0.29928100000000002</v>
      </c>
      <c r="D152" s="16">
        <v>-2.5331040002473739</v>
      </c>
      <c r="E152" s="16">
        <v>-15.039339999999999</v>
      </c>
      <c r="F152" s="16">
        <v>-37.878334906632929</v>
      </c>
      <c r="G152" t="str">
        <f t="shared" si="6"/>
        <v>0-5</v>
      </c>
      <c r="H152">
        <f t="shared" si="7"/>
        <v>0.48176590171913342</v>
      </c>
      <c r="I152">
        <f t="shared" si="8"/>
        <v>0.26015535207347329</v>
      </c>
    </row>
    <row r="153" spans="1:9" x14ac:dyDescent="0.3">
      <c r="A153" s="21" t="s">
        <v>324</v>
      </c>
      <c r="B153" s="21" t="s">
        <v>325</v>
      </c>
      <c r="C153" s="17">
        <v>5.7339000000000001E-2</v>
      </c>
      <c r="D153" s="17">
        <v>-0.62099615639521411</v>
      </c>
      <c r="E153" s="17">
        <v>-1.03667</v>
      </c>
      <c r="F153" s="17">
        <v>-17.662348097408643</v>
      </c>
      <c r="G153" t="str">
        <f t="shared" si="6"/>
        <v>0-5</v>
      </c>
      <c r="H153">
        <f t="shared" si="7"/>
        <v>6.9638857406128449E-2</v>
      </c>
      <c r="I153">
        <f t="shared" si="8"/>
        <v>5.6750682697677982E-2</v>
      </c>
    </row>
    <row r="154" spans="1:9" x14ac:dyDescent="0.3">
      <c r="A154" s="20" t="s">
        <v>322</v>
      </c>
      <c r="B154" s="20" t="s">
        <v>323</v>
      </c>
      <c r="C154" s="16">
        <v>3.0936399999999999E-3</v>
      </c>
      <c r="D154" s="16">
        <v>-1.566869469016164</v>
      </c>
      <c r="E154" s="16">
        <v>0.97435000000000005</v>
      </c>
      <c r="F154" s="16">
        <v>7.0935045318689358</v>
      </c>
      <c r="G154" t="str">
        <f t="shared" si="6"/>
        <v>0-5</v>
      </c>
      <c r="H154">
        <f t="shared" si="7"/>
        <v>2.8887279518239996E-3</v>
      </c>
      <c r="I154">
        <f t="shared" si="8"/>
        <v>3.1240794682993751E-3</v>
      </c>
    </row>
    <row r="155" spans="1:9" x14ac:dyDescent="0.3">
      <c r="A155" s="21" t="s">
        <v>326</v>
      </c>
      <c r="B155" s="21" t="s">
        <v>327</v>
      </c>
      <c r="C155" s="17">
        <v>3.0530000000000001E-5</v>
      </c>
      <c r="D155" s="17">
        <v>-0.87382045024721045</v>
      </c>
      <c r="E155" s="17">
        <v>0.48065999999999998</v>
      </c>
      <c r="F155" s="17">
        <v>-11.261974898690736</v>
      </c>
      <c r="G155" t="str">
        <f t="shared" si="6"/>
        <v>0-5</v>
      </c>
      <c r="H155">
        <f t="shared" si="7"/>
        <v>3.4404642164556751E-5</v>
      </c>
      <c r="I155">
        <f t="shared" si="8"/>
        <v>3.067745425160577E-5</v>
      </c>
    </row>
    <row r="156" spans="1:9" ht="28.8" x14ac:dyDescent="0.3">
      <c r="A156" s="20" t="s">
        <v>328</v>
      </c>
      <c r="B156" s="20" t="s">
        <v>329</v>
      </c>
      <c r="C156" s="16">
        <v>3.0067100000000001E-3</v>
      </c>
      <c r="D156" s="16">
        <v>-0.76295536920603702</v>
      </c>
      <c r="E156" s="16">
        <v>5.5182799999999999</v>
      </c>
      <c r="F156" s="16">
        <v>-12.205380530654317</v>
      </c>
      <c r="G156" t="str">
        <f t="shared" si="6"/>
        <v>0-5</v>
      </c>
      <c r="H156">
        <f t="shared" si="7"/>
        <v>3.4247087329193574E-3</v>
      </c>
      <c r="I156">
        <f t="shared" si="8"/>
        <v>3.1823192888529124E-3</v>
      </c>
    </row>
    <row r="157" spans="1:9" x14ac:dyDescent="0.3">
      <c r="A157" s="21" t="s">
        <v>330</v>
      </c>
      <c r="B157" s="21" t="s">
        <v>331</v>
      </c>
      <c r="C157" s="17">
        <v>1.0009999999999999</v>
      </c>
      <c r="D157" s="17">
        <v>0.21034617415088672</v>
      </c>
      <c r="E157" s="17">
        <v>3.388E-2</v>
      </c>
      <c r="F157" s="17">
        <v>0.11429374486665274</v>
      </c>
      <c r="G157" t="str">
        <f t="shared" si="6"/>
        <v>0-5</v>
      </c>
      <c r="H157">
        <f t="shared" si="7"/>
        <v>0.99985722573338942</v>
      </c>
      <c r="I157">
        <f t="shared" si="8"/>
        <v>1.0013392537391668</v>
      </c>
    </row>
    <row r="158" spans="1:9" ht="28.8" x14ac:dyDescent="0.3">
      <c r="A158" s="20" t="s">
        <v>332</v>
      </c>
      <c r="B158" s="20" t="s">
        <v>333</v>
      </c>
      <c r="C158" s="16">
        <v>5.7455800000000001E-3</v>
      </c>
      <c r="D158" s="16">
        <v>0.51490637960545893</v>
      </c>
      <c r="E158" s="16">
        <v>1.5097400000000001</v>
      </c>
      <c r="F158" s="16">
        <v>-10.697854003804467</v>
      </c>
      <c r="G158" t="str">
        <f t="shared" si="6"/>
        <v>0-5</v>
      </c>
      <c r="H158">
        <f t="shared" si="7"/>
        <v>6.433865542542252E-3</v>
      </c>
      <c r="I158">
        <f t="shared" si="8"/>
        <v>5.8336529926918661E-3</v>
      </c>
    </row>
    <row r="159" spans="1:9" x14ac:dyDescent="0.3">
      <c r="A159" s="21" t="s">
        <v>334</v>
      </c>
      <c r="B159" s="21" t="s">
        <v>335</v>
      </c>
      <c r="C159" s="17">
        <v>18.95</v>
      </c>
      <c r="D159" s="17">
        <v>-0.3268767367031214</v>
      </c>
      <c r="E159" s="17">
        <v>0.39419999999999999</v>
      </c>
      <c r="F159" s="17">
        <v>-2.9082326279936401</v>
      </c>
      <c r="G159" t="str">
        <f t="shared" si="6"/>
        <v>&gt;5</v>
      </c>
      <c r="H159">
        <f t="shared" si="7"/>
        <v>19.517617726941999</v>
      </c>
      <c r="I159">
        <f t="shared" si="8"/>
        <v>19.024996536346276</v>
      </c>
    </row>
    <row r="160" spans="1:9" ht="28.8" x14ac:dyDescent="0.3">
      <c r="A160" s="20" t="s">
        <v>336</v>
      </c>
      <c r="B160" s="20" t="s">
        <v>337</v>
      </c>
      <c r="C160" s="16">
        <v>75.13</v>
      </c>
      <c r="D160" s="16">
        <v>0.10604256576576972</v>
      </c>
      <c r="E160" s="16">
        <v>-0.33883999999999997</v>
      </c>
      <c r="F160" s="16">
        <v>-14.245363147709414</v>
      </c>
      <c r="G160" t="str">
        <f t="shared" si="6"/>
        <v>&gt;5</v>
      </c>
      <c r="H160">
        <f t="shared" si="7"/>
        <v>87.610422896908574</v>
      </c>
      <c r="I160">
        <f t="shared" si="8"/>
        <v>74.876289181736595</v>
      </c>
    </row>
    <row r="161" spans="1:9" x14ac:dyDescent="0.3">
      <c r="A161" s="21" t="s">
        <v>338</v>
      </c>
      <c r="B161" s="21" t="s">
        <v>339</v>
      </c>
      <c r="C161" s="17">
        <v>2.8398599999999999E-7</v>
      </c>
      <c r="D161" s="17">
        <v>-1.1642310509314393</v>
      </c>
      <c r="E161" s="17">
        <v>0.20669999999999999</v>
      </c>
      <c r="F161" s="17">
        <v>-6.1047753860788738</v>
      </c>
      <c r="G161" t="str">
        <f t="shared" si="6"/>
        <v>0-5</v>
      </c>
      <c r="H161">
        <f t="shared" si="7"/>
        <v>3.0244988620847876E-7</v>
      </c>
      <c r="I161">
        <f t="shared" si="8"/>
        <v>2.8457421490220285E-7</v>
      </c>
    </row>
    <row r="162" spans="1:9" x14ac:dyDescent="0.3">
      <c r="A162" s="20" t="s">
        <v>340</v>
      </c>
      <c r="B162" s="20" t="s">
        <v>341</v>
      </c>
      <c r="C162" s="16">
        <v>4.4382959999999999E-2</v>
      </c>
      <c r="D162" s="16">
        <v>0.20048364614252021</v>
      </c>
      <c r="E162" s="16">
        <v>4.7800099999999999</v>
      </c>
      <c r="F162" s="16">
        <v>-3.2606585606958194</v>
      </c>
      <c r="G162" t="str">
        <f t="shared" si="6"/>
        <v>0-5</v>
      </c>
      <c r="H162">
        <f t="shared" si="7"/>
        <v>4.5878914761732774E-2</v>
      </c>
      <c r="I162">
        <f t="shared" si="8"/>
        <v>4.6610968978257609E-2</v>
      </c>
    </row>
    <row r="163" spans="1:9" x14ac:dyDescent="0.3">
      <c r="A163" s="21" t="s">
        <v>342</v>
      </c>
      <c r="B163" s="21" t="s">
        <v>343</v>
      </c>
      <c r="C163" s="17">
        <v>0.129576</v>
      </c>
      <c r="D163" s="17">
        <v>-0.4436143850960757</v>
      </c>
      <c r="E163" s="17">
        <v>1.76119</v>
      </c>
      <c r="F163" s="17">
        <v>-11.350403958743991</v>
      </c>
      <c r="G163" t="str">
        <f t="shared" si="6"/>
        <v>0-5</v>
      </c>
      <c r="H163">
        <f t="shared" si="7"/>
        <v>0.14616648669182603</v>
      </c>
      <c r="I163">
        <f t="shared" si="8"/>
        <v>0.13189899185464482</v>
      </c>
    </row>
    <row r="164" spans="1:9" ht="28.8" x14ac:dyDescent="0.3">
      <c r="A164" s="20" t="s">
        <v>344</v>
      </c>
      <c r="B164" s="20" t="s">
        <v>345</v>
      </c>
      <c r="C164" s="16">
        <v>2.54243E-2</v>
      </c>
      <c r="D164" s="16">
        <v>-0.91393210402664038</v>
      </c>
      <c r="E164" s="16">
        <v>1.8640000000000001</v>
      </c>
      <c r="F164" s="16">
        <v>-8.6517544593618911</v>
      </c>
      <c r="G164" t="str">
        <f t="shared" si="6"/>
        <v>0-5</v>
      </c>
      <c r="H164">
        <f t="shared" si="7"/>
        <v>2.7832280575864468E-2</v>
      </c>
      <c r="I164">
        <f t="shared" si="8"/>
        <v>2.5907210401891253E-2</v>
      </c>
    </row>
    <row r="165" spans="1:9" ht="43.2" x14ac:dyDescent="0.3">
      <c r="A165" s="21" t="s">
        <v>346</v>
      </c>
      <c r="B165" s="21" t="s">
        <v>347</v>
      </c>
      <c r="C165" s="17">
        <v>0.99280000000000002</v>
      </c>
      <c r="D165" s="17">
        <v>-3.0696287601369623E-2</v>
      </c>
      <c r="E165" s="17">
        <v>4.1509999999999998E-2</v>
      </c>
      <c r="F165" s="17">
        <v>-0.102892882369164</v>
      </c>
      <c r="G165" t="str">
        <f t="shared" si="6"/>
        <v>0-5</v>
      </c>
      <c r="H165">
        <f t="shared" si="7"/>
        <v>0.99382257269067686</v>
      </c>
      <c r="I165">
        <f t="shared" si="8"/>
        <v>0.99321228241843196</v>
      </c>
    </row>
    <row r="166" spans="1:9" x14ac:dyDescent="0.3">
      <c r="A166" s="20" t="s">
        <v>348</v>
      </c>
      <c r="B166" s="20" t="s">
        <v>349</v>
      </c>
      <c r="C166" s="16">
        <v>0.124293</v>
      </c>
      <c r="D166" s="16">
        <v>-0.66415224522006822</v>
      </c>
      <c r="E166" s="16">
        <v>-4.2963399999999998</v>
      </c>
      <c r="F166" s="16">
        <v>-3.2959189944189551</v>
      </c>
      <c r="G166" t="str">
        <f t="shared" si="6"/>
        <v>0-5</v>
      </c>
      <c r="H166">
        <f t="shared" si="7"/>
        <v>0.12852921894043617</v>
      </c>
      <c r="I166">
        <f t="shared" si="8"/>
        <v>0.11917292591475405</v>
      </c>
    </row>
    <row r="167" spans="1:9" ht="43.2" x14ac:dyDescent="0.3">
      <c r="A167" s="21" t="s">
        <v>352</v>
      </c>
      <c r="B167" s="21" t="s">
        <v>353</v>
      </c>
      <c r="C167" s="17">
        <v>6.31</v>
      </c>
      <c r="D167" s="17">
        <v>-0.40392273980911308</v>
      </c>
      <c r="E167" s="17">
        <v>1.02474</v>
      </c>
      <c r="F167" s="17">
        <v>-8.5493844588959327</v>
      </c>
      <c r="G167" t="str">
        <f t="shared" si="6"/>
        <v>&gt;5</v>
      </c>
      <c r="H167">
        <f t="shared" si="7"/>
        <v>6.8998988827624244</v>
      </c>
      <c r="I167">
        <f t="shared" si="8"/>
        <v>6.3753305624051908</v>
      </c>
    </row>
    <row r="168" spans="1:9" x14ac:dyDescent="0.3">
      <c r="A168" s="20" t="s">
        <v>350</v>
      </c>
      <c r="B168" s="20" t="s">
        <v>351</v>
      </c>
      <c r="C168" s="16">
        <v>0.101539</v>
      </c>
      <c r="D168" s="16">
        <v>-2.2438954959968607</v>
      </c>
      <c r="E168" s="16">
        <v>-18.73434</v>
      </c>
      <c r="F168" s="16">
        <v>-50.862414168605994</v>
      </c>
      <c r="G168" t="str">
        <f t="shared" si="6"/>
        <v>0-5</v>
      </c>
      <c r="H168">
        <f t="shared" si="7"/>
        <v>0.20664222362981199</v>
      </c>
      <c r="I168">
        <f t="shared" si="8"/>
        <v>8.5517803863650571E-2</v>
      </c>
    </row>
    <row r="169" spans="1:9" x14ac:dyDescent="0.3">
      <c r="A169" s="21" t="s">
        <v>354</v>
      </c>
      <c r="B169" s="21" t="s">
        <v>355</v>
      </c>
      <c r="C169" s="17">
        <v>5.6327000000000002E-2</v>
      </c>
      <c r="D169" s="17">
        <v>-0.43209859983376631</v>
      </c>
      <c r="E169" s="17">
        <v>0.40656999999999999</v>
      </c>
      <c r="F169" s="17">
        <v>-6.207528963308147</v>
      </c>
      <c r="G169" t="str">
        <f t="shared" si="6"/>
        <v>0-5</v>
      </c>
      <c r="H169">
        <f t="shared" si="7"/>
        <v>6.0054926986585884E-2</v>
      </c>
      <c r="I169">
        <f t="shared" si="8"/>
        <v>5.6556943565454064E-2</v>
      </c>
    </row>
    <row r="170" spans="1:9" ht="28.8" x14ac:dyDescent="0.3">
      <c r="A170" s="20" t="s">
        <v>356</v>
      </c>
      <c r="B170" s="20" t="s">
        <v>357</v>
      </c>
      <c r="C170" s="16">
        <v>0.99952300000000005</v>
      </c>
      <c r="D170" s="16">
        <v>-2.481104511874424E-2</v>
      </c>
      <c r="E170" s="16">
        <v>-9.9699999999999997E-3</v>
      </c>
      <c r="F170" s="16">
        <v>-1.3818904547403223E-2</v>
      </c>
      <c r="G170" t="str">
        <f t="shared" si="6"/>
        <v>0-5</v>
      </c>
      <c r="H170">
        <f t="shared" si="7"/>
        <v>0.99966114221904079</v>
      </c>
      <c r="I170">
        <f t="shared" si="8"/>
        <v>0.9994233574912581</v>
      </c>
    </row>
    <row r="171" spans="1:9" ht="28.8" x14ac:dyDescent="0.3">
      <c r="A171" s="21" t="s">
        <v>358</v>
      </c>
      <c r="B171" s="21" t="s">
        <v>359</v>
      </c>
      <c r="C171" s="17">
        <v>0.99802999999999997</v>
      </c>
      <c r="D171" s="17">
        <v>-0.12642839999330224</v>
      </c>
      <c r="E171" s="17">
        <v>-1.384E-2</v>
      </c>
      <c r="F171" s="17">
        <v>-0.24888000344354305</v>
      </c>
      <c r="G171" t="str">
        <f t="shared" si="6"/>
        <v>0-5</v>
      </c>
      <c r="H171">
        <f t="shared" si="7"/>
        <v>1.0005200944455093</v>
      </c>
      <c r="I171">
        <f t="shared" si="8"/>
        <v>0.99789189176218007</v>
      </c>
    </row>
    <row r="172" spans="1:9" ht="28.8" x14ac:dyDescent="0.3">
      <c r="A172" s="20" t="s">
        <v>360</v>
      </c>
      <c r="B172" s="20" t="s">
        <v>361</v>
      </c>
      <c r="C172" s="16">
        <v>1.1400000000000001E-6</v>
      </c>
      <c r="D172" s="16">
        <v>-0.26114304249148512</v>
      </c>
      <c r="E172" s="16">
        <v>3.4689999999999999E-2</v>
      </c>
      <c r="F172" s="16">
        <v>-7.4808556173684577</v>
      </c>
      <c r="G172" t="str">
        <f t="shared" si="6"/>
        <v>0-5</v>
      </c>
      <c r="H172">
        <f t="shared" si="7"/>
        <v>1.2321774132338499E-6</v>
      </c>
      <c r="I172">
        <f t="shared" si="8"/>
        <v>1.1403956032347623E-6</v>
      </c>
    </row>
    <row r="173" spans="1:9" x14ac:dyDescent="0.3">
      <c r="A173" s="21" t="s">
        <v>362</v>
      </c>
      <c r="B173" s="21" t="s">
        <v>363</v>
      </c>
      <c r="C173" s="17">
        <v>0.49956499999999998</v>
      </c>
      <c r="D173" s="17">
        <v>-2.6858335023109459</v>
      </c>
      <c r="E173" s="17">
        <v>15.31457</v>
      </c>
      <c r="F173" s="17">
        <v>1.1813689464871238</v>
      </c>
      <c r="G173" t="str">
        <f t="shared" si="6"/>
        <v>0-5</v>
      </c>
      <c r="H173">
        <f t="shared" si="7"/>
        <v>0.4937322010974276</v>
      </c>
      <c r="I173">
        <f t="shared" si="8"/>
        <v>0.58990666989587226</v>
      </c>
    </row>
    <row r="174" spans="1:9" ht="28.8" x14ac:dyDescent="0.3">
      <c r="A174" s="20" t="s">
        <v>364</v>
      </c>
      <c r="B174" s="20" t="s">
        <v>365</v>
      </c>
      <c r="C174" s="16">
        <v>0.20146600000000001</v>
      </c>
      <c r="D174" s="16">
        <v>0.89722200769105975</v>
      </c>
      <c r="E174" s="16">
        <v>-4.54087</v>
      </c>
      <c r="F174" s="16">
        <v>-13.146690994478416</v>
      </c>
      <c r="G174" t="str">
        <f t="shared" si="6"/>
        <v>0-5</v>
      </c>
      <c r="H174">
        <f t="shared" si="7"/>
        <v>0.23196122555007326</v>
      </c>
      <c r="I174">
        <f t="shared" si="8"/>
        <v>0.19271505966996447</v>
      </c>
    </row>
    <row r="175" spans="1:9" x14ac:dyDescent="0.3">
      <c r="A175" s="21" t="s">
        <v>366</v>
      </c>
      <c r="B175" s="21" t="s">
        <v>367</v>
      </c>
      <c r="C175" s="17">
        <v>7.1777999999999995E-2</v>
      </c>
      <c r="D175" s="17">
        <v>-0.30284271484074793</v>
      </c>
      <c r="E175" s="17">
        <v>1.11951</v>
      </c>
      <c r="F175" s="17">
        <v>-5.4279615468585494</v>
      </c>
      <c r="G175" t="str">
        <f t="shared" si="6"/>
        <v>0-5</v>
      </c>
      <c r="H175">
        <f t="shared" si="7"/>
        <v>7.5897697854492754E-2</v>
      </c>
      <c r="I175">
        <f t="shared" si="8"/>
        <v>7.2590659694344153E-2</v>
      </c>
    </row>
    <row r="176" spans="1:9" ht="28.8" x14ac:dyDescent="0.3">
      <c r="A176" s="20" t="s">
        <v>368</v>
      </c>
      <c r="B176" s="20" t="s">
        <v>369</v>
      </c>
      <c r="C176" s="16">
        <v>0.77480099999999996</v>
      </c>
      <c r="D176" s="16">
        <v>-1.024241013953004</v>
      </c>
      <c r="E176" s="16">
        <v>1.13148</v>
      </c>
      <c r="F176" s="16">
        <v>-3.6286971212036208</v>
      </c>
      <c r="G176" t="str">
        <f t="shared" si="6"/>
        <v>0-5</v>
      </c>
      <c r="H176">
        <f t="shared" si="7"/>
        <v>0.80397481081525535</v>
      </c>
      <c r="I176">
        <f t="shared" si="8"/>
        <v>0.78366804722069261</v>
      </c>
    </row>
    <row r="177" spans="1:9" x14ac:dyDescent="0.3">
      <c r="A177" s="21" t="s">
        <v>370</v>
      </c>
      <c r="B177" s="21" t="s">
        <v>371</v>
      </c>
      <c r="C177" s="17">
        <v>0.99920299999999995</v>
      </c>
      <c r="D177" s="17">
        <v>-2.853099403055992E-2</v>
      </c>
      <c r="E177" s="17">
        <v>2.0559999999999998E-2</v>
      </c>
      <c r="F177" s="17">
        <v>-3.9360063969295839E-2</v>
      </c>
      <c r="G177" t="str">
        <f t="shared" si="6"/>
        <v>0-5</v>
      </c>
      <c r="H177">
        <f t="shared" si="7"/>
        <v>0.99959644179892682</v>
      </c>
      <c r="I177">
        <f t="shared" si="8"/>
        <v>0.99940847838315561</v>
      </c>
    </row>
    <row r="178" spans="1:9" ht="28.8" x14ac:dyDescent="0.3">
      <c r="A178" s="20" t="s">
        <v>372</v>
      </c>
      <c r="B178" s="20" t="s">
        <v>373</v>
      </c>
      <c r="C178" s="16">
        <v>22.65</v>
      </c>
      <c r="D178" s="16">
        <v>-0.99654263582428237</v>
      </c>
      <c r="E178" s="16">
        <v>-0.27915000000000001</v>
      </c>
      <c r="F178" s="16">
        <v>5.8084946925981366E-2</v>
      </c>
      <c r="G178" t="str">
        <f t="shared" si="6"/>
        <v>&gt;5</v>
      </c>
      <c r="H178">
        <f t="shared" si="7"/>
        <v>22.636851396880406</v>
      </c>
      <c r="I178">
        <f t="shared" si="8"/>
        <v>22.586948533169654</v>
      </c>
    </row>
    <row r="179" spans="1:9" x14ac:dyDescent="0.3">
      <c r="A179" s="21" t="s">
        <v>374</v>
      </c>
      <c r="B179" s="21" t="s">
        <v>375</v>
      </c>
      <c r="C179" s="17">
        <v>8.7041999999999994E-2</v>
      </c>
      <c r="D179" s="17">
        <v>-0.47675133310394902</v>
      </c>
      <c r="E179" s="17">
        <v>4.1123399999999997</v>
      </c>
      <c r="F179" s="17">
        <v>-7.4191204741183556</v>
      </c>
      <c r="G179" t="str">
        <f t="shared" si="6"/>
        <v>0-5</v>
      </c>
      <c r="H179">
        <f t="shared" si="7"/>
        <v>9.4017253287885197E-2</v>
      </c>
      <c r="I179">
        <f t="shared" si="8"/>
        <v>9.0774975632943802E-2</v>
      </c>
    </row>
    <row r="180" spans="1:9" x14ac:dyDescent="0.3">
      <c r="A180" s="20" t="s">
        <v>376</v>
      </c>
      <c r="B180" s="20" t="s">
        <v>377</v>
      </c>
      <c r="C180" s="16">
        <v>0.98303700000000005</v>
      </c>
      <c r="D180" s="16"/>
      <c r="E180" s="16"/>
      <c r="F180" s="16">
        <v>-4.7730769083253341E-2</v>
      </c>
      <c r="G180" t="str">
        <f t="shared" si="6"/>
        <v>0-5</v>
      </c>
      <c r="H180">
        <f t="shared" si="7"/>
        <v>0.98350643518549741</v>
      </c>
      <c r="I180">
        <f t="shared" si="8"/>
        <v>0.98303700000000005</v>
      </c>
    </row>
    <row r="181" spans="1:9" ht="28.8" x14ac:dyDescent="0.3">
      <c r="A181" s="21" t="s">
        <v>378</v>
      </c>
      <c r="B181" s="21" t="s">
        <v>379</v>
      </c>
      <c r="C181" s="17">
        <v>9.035E-2</v>
      </c>
      <c r="D181" s="17">
        <v>-8.1519674093067152E-2</v>
      </c>
      <c r="E181" s="17">
        <v>2.7307199999999998</v>
      </c>
      <c r="F181" s="17">
        <v>13.139190647468006</v>
      </c>
      <c r="G181" t="str">
        <f t="shared" si="6"/>
        <v>0-5</v>
      </c>
      <c r="H181">
        <f t="shared" si="7"/>
        <v>7.9857385829745622E-2</v>
      </c>
      <c r="I181">
        <f t="shared" si="8"/>
        <v>9.2886469397121058E-2</v>
      </c>
    </row>
    <row r="182" spans="1:9" ht="28.8" x14ac:dyDescent="0.3">
      <c r="A182" s="20" t="s">
        <v>380</v>
      </c>
      <c r="B182" s="20" t="s">
        <v>381</v>
      </c>
      <c r="C182" s="16">
        <v>1.2</v>
      </c>
      <c r="D182" s="16">
        <v>-0.42772206487220499</v>
      </c>
      <c r="E182" s="16">
        <v>0.2586</v>
      </c>
      <c r="F182" s="16">
        <v>-4.5043337213582637</v>
      </c>
      <c r="G182" t="str">
        <f t="shared" si="6"/>
        <v>0-5</v>
      </c>
      <c r="H182">
        <f t="shared" si="7"/>
        <v>1.2566015262918673</v>
      </c>
      <c r="I182">
        <f t="shared" si="8"/>
        <v>1.2031112456813318</v>
      </c>
    </row>
    <row r="183" spans="1:9" ht="28.8" x14ac:dyDescent="0.3">
      <c r="A183" s="21" t="s">
        <v>384</v>
      </c>
      <c r="B183" s="21" t="s">
        <v>385</v>
      </c>
      <c r="C183" s="17">
        <v>0.93042400000000003</v>
      </c>
      <c r="D183" s="17">
        <v>-0.79547780202328666</v>
      </c>
      <c r="E183" s="17">
        <v>15.293100000000001</v>
      </c>
      <c r="F183" s="17">
        <v>129.29528660678614</v>
      </c>
      <c r="G183" t="str">
        <f t="shared" si="6"/>
        <v>0-5</v>
      </c>
      <c r="H183">
        <f t="shared" si="7"/>
        <v>0.40577545826119193</v>
      </c>
      <c r="I183">
        <f t="shared" si="8"/>
        <v>1.0984040261182975</v>
      </c>
    </row>
    <row r="184" spans="1:9" x14ac:dyDescent="0.3">
      <c r="A184" s="20" t="s">
        <v>382</v>
      </c>
      <c r="B184" s="20" t="s">
        <v>383</v>
      </c>
      <c r="C184" s="16">
        <v>0.76845799999999997</v>
      </c>
      <c r="D184" s="16">
        <v>-0.90660798781897445</v>
      </c>
      <c r="E184" s="16">
        <v>3.5968499999999999</v>
      </c>
      <c r="F184" s="16">
        <v>-1.0844685199332689</v>
      </c>
      <c r="G184" t="str">
        <f t="shared" si="6"/>
        <v>0-5</v>
      </c>
      <c r="H184">
        <f t="shared" si="7"/>
        <v>0.77688305213712383</v>
      </c>
      <c r="I184">
        <f t="shared" si="8"/>
        <v>0.7971295543765945</v>
      </c>
    </row>
    <row r="185" spans="1:9" x14ac:dyDescent="0.3">
      <c r="A185" s="21" t="s">
        <v>390</v>
      </c>
      <c r="B185" s="21" t="s">
        <v>391</v>
      </c>
      <c r="C185" s="17">
        <v>2.89</v>
      </c>
      <c r="D185" s="17">
        <v>-0.16260815431483883</v>
      </c>
      <c r="E185" s="17">
        <v>1.1685099999999999</v>
      </c>
      <c r="F185" s="17">
        <v>-7.2877599562878173</v>
      </c>
      <c r="G185" t="str">
        <f t="shared" si="6"/>
        <v>0-5</v>
      </c>
      <c r="H185">
        <f t="shared" si="7"/>
        <v>3.1171720137895669</v>
      </c>
      <c r="I185">
        <f t="shared" si="8"/>
        <v>2.9241692096314646</v>
      </c>
    </row>
    <row r="186" spans="1:9" x14ac:dyDescent="0.3">
      <c r="A186" s="20" t="s">
        <v>386</v>
      </c>
      <c r="B186" s="20" t="s">
        <v>387</v>
      </c>
      <c r="C186" s="16">
        <v>0.34782600000000002</v>
      </c>
      <c r="D186" s="16">
        <v>-0.5038008278453715</v>
      </c>
      <c r="E186" s="16">
        <v>16.126799999999999</v>
      </c>
      <c r="F186" s="16">
        <v>5.0957629691004964</v>
      </c>
      <c r="G186" t="str">
        <f t="shared" si="6"/>
        <v>0-5</v>
      </c>
      <c r="H186">
        <f t="shared" si="7"/>
        <v>0.33096101134188</v>
      </c>
      <c r="I186">
        <f t="shared" si="8"/>
        <v>0.41470457786277382</v>
      </c>
    </row>
    <row r="187" spans="1:9" ht="28.8" x14ac:dyDescent="0.3">
      <c r="A187" s="21" t="s">
        <v>388</v>
      </c>
      <c r="B187" s="21" t="s">
        <v>389</v>
      </c>
      <c r="C187" s="17">
        <v>0.203241</v>
      </c>
      <c r="D187" s="17">
        <v>-0.87453888258106072</v>
      </c>
      <c r="E187" s="17">
        <v>2.0936900000000001</v>
      </c>
      <c r="F187" s="17">
        <v>-7.6419899559162312</v>
      </c>
      <c r="G187" t="str">
        <f t="shared" si="6"/>
        <v>0-5</v>
      </c>
      <c r="H187">
        <f t="shared" si="7"/>
        <v>0.22005779455727795</v>
      </c>
      <c r="I187">
        <f t="shared" si="8"/>
        <v>0.20758723314156158</v>
      </c>
    </row>
    <row r="188" spans="1:9" ht="72" x14ac:dyDescent="0.3">
      <c r="A188" s="20" t="s">
        <v>392</v>
      </c>
      <c r="B188" s="20" t="s">
        <v>393</v>
      </c>
      <c r="C188" s="16">
        <v>1</v>
      </c>
      <c r="D188" s="16">
        <v>0</v>
      </c>
      <c r="E188" s="16">
        <v>0</v>
      </c>
      <c r="F188" s="16">
        <v>0</v>
      </c>
      <c r="G188" t="str">
        <f t="shared" si="6"/>
        <v>0-5</v>
      </c>
      <c r="H188">
        <f t="shared" si="7"/>
        <v>1</v>
      </c>
      <c r="I188">
        <f t="shared" si="8"/>
        <v>1</v>
      </c>
    </row>
    <row r="189" spans="1:9" x14ac:dyDescent="0.3">
      <c r="A189" s="21" t="s">
        <v>394</v>
      </c>
      <c r="B189" s="21" t="s">
        <v>395</v>
      </c>
      <c r="C189" s="17">
        <v>0.74696399999999996</v>
      </c>
      <c r="D189" s="17">
        <v>0.57632346678547186</v>
      </c>
      <c r="E189" s="17">
        <v>2.0979000000000001</v>
      </c>
      <c r="F189" s="17">
        <v>-28.694899713132511</v>
      </c>
      <c r="G189" t="str">
        <f t="shared" si="6"/>
        <v>0-5</v>
      </c>
      <c r="H189">
        <f t="shared" si="7"/>
        <v>1.0475604087153509</v>
      </c>
      <c r="I189">
        <f t="shared" si="8"/>
        <v>0.76297035507920663</v>
      </c>
    </row>
    <row r="190" spans="1:9" ht="28.8" x14ac:dyDescent="0.3">
      <c r="A190" s="20" t="s">
        <v>404</v>
      </c>
      <c r="B190" s="20" t="s">
        <v>405</v>
      </c>
      <c r="C190" s="16">
        <v>8.1731999999999999E-2</v>
      </c>
      <c r="D190" s="16">
        <v>2.053190169349949</v>
      </c>
      <c r="E190" s="16">
        <v>-27.224499999999999</v>
      </c>
      <c r="F190" s="16">
        <v>-51.941091670988307</v>
      </c>
      <c r="G190" t="str">
        <f t="shared" si="6"/>
        <v>0-5</v>
      </c>
      <c r="H190">
        <f t="shared" si="7"/>
        <v>0.17006628498604678</v>
      </c>
      <c r="I190">
        <f t="shared" si="8"/>
        <v>6.4242343259356488E-2</v>
      </c>
    </row>
    <row r="191" spans="1:9" ht="28.8" x14ac:dyDescent="0.3">
      <c r="A191" s="21" t="s">
        <v>396</v>
      </c>
      <c r="B191" s="21" t="s">
        <v>397</v>
      </c>
      <c r="C191" s="17">
        <v>0.19622300000000001</v>
      </c>
      <c r="D191" s="17">
        <v>-0.53044355158678147</v>
      </c>
      <c r="E191" s="17">
        <v>1.8666</v>
      </c>
      <c r="F191" s="17">
        <v>-9.0071225599279394</v>
      </c>
      <c r="G191" t="str">
        <f t="shared" si="6"/>
        <v>0-5</v>
      </c>
      <c r="H191">
        <f t="shared" si="7"/>
        <v>0.21564654896118934</v>
      </c>
      <c r="I191">
        <f t="shared" si="8"/>
        <v>0.19995536687814749</v>
      </c>
    </row>
    <row r="192" spans="1:9" ht="28.8" x14ac:dyDescent="0.3">
      <c r="A192" s="20" t="s">
        <v>398</v>
      </c>
      <c r="B192" s="20" t="s">
        <v>399</v>
      </c>
      <c r="C192" s="16">
        <v>0.439969</v>
      </c>
      <c r="D192" s="16">
        <v>-3.6650378254042031</v>
      </c>
      <c r="E192" s="16">
        <v>-0.79961000000000004</v>
      </c>
      <c r="F192" s="16">
        <v>29.372409048940156</v>
      </c>
      <c r="G192" t="str">
        <f t="shared" si="6"/>
        <v>0-5</v>
      </c>
      <c r="H192">
        <f t="shared" si="7"/>
        <v>0.34007946766575597</v>
      </c>
      <c r="I192">
        <f t="shared" si="8"/>
        <v>0.43647887129722029</v>
      </c>
    </row>
    <row r="193" spans="1:9" ht="28.8" x14ac:dyDescent="0.3">
      <c r="A193" s="21" t="s">
        <v>402</v>
      </c>
      <c r="B193" s="21" t="s">
        <v>403</v>
      </c>
      <c r="C193" s="17">
        <v>7.2418999999999997E-2</v>
      </c>
      <c r="D193" s="17">
        <v>-0.38325574458021366</v>
      </c>
      <c r="E193" s="17">
        <v>1.44208</v>
      </c>
      <c r="F193" s="17">
        <v>-6.1037682714714938</v>
      </c>
      <c r="G193" t="str">
        <f t="shared" si="6"/>
        <v>0-5</v>
      </c>
      <c r="H193">
        <f t="shared" si="7"/>
        <v>7.7126630820901113E-2</v>
      </c>
      <c r="I193">
        <f t="shared" si="8"/>
        <v>7.3478620490367491E-2</v>
      </c>
    </row>
    <row r="194" spans="1:9" ht="28.8" x14ac:dyDescent="0.3">
      <c r="A194" s="20" t="s">
        <v>400</v>
      </c>
      <c r="B194" s="20" t="s">
        <v>401</v>
      </c>
      <c r="C194" s="16">
        <v>0.46341100000000002</v>
      </c>
      <c r="D194" s="16">
        <v>-1.0515680697051739</v>
      </c>
      <c r="E194" s="16">
        <v>0.45784999999999998</v>
      </c>
      <c r="F194" s="16">
        <v>-8.0751598844182162</v>
      </c>
      <c r="G194" t="str">
        <f t="shared" si="6"/>
        <v>0-5</v>
      </c>
      <c r="H194">
        <f t="shared" si="7"/>
        <v>0.50411945173614636</v>
      </c>
      <c r="I194">
        <f t="shared" si="8"/>
        <v>0.46554248627340283</v>
      </c>
    </row>
    <row r="195" spans="1:9" x14ac:dyDescent="0.3">
      <c r="A195" s="21" t="s">
        <v>406</v>
      </c>
      <c r="B195" s="21" t="s">
        <v>407</v>
      </c>
      <c r="C195" s="17">
        <v>0.19168399999999999</v>
      </c>
      <c r="D195" s="17">
        <v>-1.0280060505233499</v>
      </c>
      <c r="E195" s="17">
        <v>3.6236999999999999</v>
      </c>
      <c r="F195" s="17">
        <v>-10.506516801921236</v>
      </c>
      <c r="G195" t="str">
        <f t="shared" ref="G195:G201" si="9">IF(C195&lt;=5,"0-5","&gt;5")</f>
        <v>0-5</v>
      </c>
      <c r="H195">
        <f t="shared" ref="H195:H201" si="10">C195/(1+(F195/100))</f>
        <v>0.21418766277734405</v>
      </c>
      <c r="I195">
        <f t="shared" ref="I195:I201" si="11">C195/(1-(E195/100))</f>
        <v>0.19889122118197108</v>
      </c>
    </row>
    <row r="196" spans="1:9" ht="28.8" x14ac:dyDescent="0.3">
      <c r="A196" s="20" t="s">
        <v>408</v>
      </c>
      <c r="B196" s="20" t="s">
        <v>409</v>
      </c>
      <c r="C196" s="16">
        <v>1.51</v>
      </c>
      <c r="D196" s="16">
        <v>-7.0580783258457416E-2</v>
      </c>
      <c r="E196" s="16">
        <v>-0.75931999999999999</v>
      </c>
      <c r="F196" s="16">
        <v>-2.0933953161405063</v>
      </c>
      <c r="G196" t="str">
        <f t="shared" si="9"/>
        <v>0-5</v>
      </c>
      <c r="H196">
        <f t="shared" si="10"/>
        <v>1.5422861459406045</v>
      </c>
      <c r="I196">
        <f t="shared" si="11"/>
        <v>1.4986206735019647</v>
      </c>
    </row>
    <row r="197" spans="1:9" ht="28.8" x14ac:dyDescent="0.3">
      <c r="A197" s="21" t="s">
        <v>410</v>
      </c>
      <c r="B197" s="21" t="s">
        <v>411</v>
      </c>
      <c r="C197" s="17">
        <v>1.1499999999999999</v>
      </c>
      <c r="D197" s="17">
        <v>-0.48562761328483611</v>
      </c>
      <c r="E197" s="17">
        <v>1.96709</v>
      </c>
      <c r="F197" s="17">
        <v>6.1040954573879143</v>
      </c>
      <c r="G197" t="str">
        <f t="shared" si="9"/>
        <v>0-5</v>
      </c>
      <c r="H197">
        <f t="shared" si="10"/>
        <v>1.0838412928762466</v>
      </c>
      <c r="I197">
        <f t="shared" si="11"/>
        <v>1.1730754498667846</v>
      </c>
    </row>
    <row r="198" spans="1:9" x14ac:dyDescent="0.3">
      <c r="A198" s="20" t="s">
        <v>412</v>
      </c>
      <c r="B198" s="20" t="s">
        <v>413</v>
      </c>
      <c r="C198" s="16">
        <v>4.7894599999999997E-3</v>
      </c>
      <c r="D198" s="16">
        <v>-8.0085619634541722E-2</v>
      </c>
      <c r="E198" s="16">
        <v>0.52346000000000004</v>
      </c>
      <c r="F198" s="16">
        <v>-4.2133778240596405</v>
      </c>
      <c r="G198" t="str">
        <f t="shared" si="9"/>
        <v>0-5</v>
      </c>
      <c r="H198">
        <f t="shared" si="10"/>
        <v>5.0001345607560361E-3</v>
      </c>
      <c r="I198">
        <f t="shared" si="11"/>
        <v>4.8146628340712287E-3</v>
      </c>
    </row>
    <row r="199" spans="1:9" ht="43.2" x14ac:dyDescent="0.3">
      <c r="A199" s="21" t="s">
        <v>414</v>
      </c>
      <c r="B199" s="21" t="s">
        <v>415</v>
      </c>
      <c r="C199" s="17">
        <v>1.079</v>
      </c>
      <c r="D199" s="17">
        <v>3.9852367650472558E-4</v>
      </c>
      <c r="E199" s="17">
        <v>2.6919999999999999E-2</v>
      </c>
      <c r="F199" s="17">
        <v>0.19969443738751713</v>
      </c>
      <c r="G199" t="str">
        <f t="shared" si="9"/>
        <v>0-5</v>
      </c>
      <c r="H199">
        <f t="shared" si="10"/>
        <v>1.0768495912672091</v>
      </c>
      <c r="I199">
        <f t="shared" si="11"/>
        <v>1.0792905450147179</v>
      </c>
    </row>
    <row r="200" spans="1:9" x14ac:dyDescent="0.3">
      <c r="A200" s="20" t="s">
        <v>416</v>
      </c>
      <c r="B200" s="20" t="s">
        <v>417</v>
      </c>
      <c r="C200" s="16">
        <v>1.36</v>
      </c>
      <c r="D200" s="16">
        <v>-9.2043837236484405E-2</v>
      </c>
      <c r="E200" s="16">
        <v>6.0470000000000003E-2</v>
      </c>
      <c r="F200" s="16">
        <v>0.2432015043838093</v>
      </c>
      <c r="G200" t="str">
        <f t="shared" si="9"/>
        <v>0-5</v>
      </c>
      <c r="H200">
        <f t="shared" si="10"/>
        <v>1.3567004840128982</v>
      </c>
      <c r="I200">
        <f t="shared" si="11"/>
        <v>1.3608228896013421</v>
      </c>
    </row>
    <row r="201" spans="1:9" ht="43.2" x14ac:dyDescent="0.3">
      <c r="A201" s="21" t="s">
        <v>418</v>
      </c>
      <c r="B201" s="21" t="s">
        <v>419</v>
      </c>
      <c r="C201" s="17">
        <v>1.1000000000000001</v>
      </c>
      <c r="D201" s="17">
        <v>1.199410326652639E-2</v>
      </c>
      <c r="E201" s="17">
        <v>-1.5769999999999999E-2</v>
      </c>
      <c r="F201" s="17">
        <v>0.16971880334998318</v>
      </c>
      <c r="G201" t="str">
        <f t="shared" si="9"/>
        <v>0-5</v>
      </c>
      <c r="H201">
        <f t="shared" si="10"/>
        <v>1.0981362562866779</v>
      </c>
      <c r="I201">
        <f t="shared" si="11"/>
        <v>1.0998265573519057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EC1F-76BD-4502-87D9-9D5BFD5B4BBE}">
  <dimension ref="A1:K204"/>
  <sheetViews>
    <sheetView zoomScale="65" workbookViewId="0">
      <selection activeCell="G14" sqref="G14"/>
    </sheetView>
  </sheetViews>
  <sheetFormatPr defaultRowHeight="14.4" x14ac:dyDescent="0.3"/>
  <cols>
    <col min="1" max="1" width="56" bestFit="1" customWidth="1"/>
    <col min="2" max="2" width="19.33203125" bestFit="1" customWidth="1"/>
  </cols>
  <sheetData>
    <row r="1" spans="1:11" x14ac:dyDescent="0.3">
      <c r="A1" s="4" t="s">
        <v>464</v>
      </c>
      <c r="B1" t="s">
        <v>448</v>
      </c>
    </row>
    <row r="2" spans="1:11" ht="100.8" x14ac:dyDescent="0.3">
      <c r="F2" t="s">
        <v>449</v>
      </c>
      <c r="G2" s="3" t="str">
        <f>A4</f>
        <v>BlackRock USD Institutional Digital Liquidity Fund</v>
      </c>
      <c r="H2" s="3"/>
      <c r="I2" s="3"/>
      <c r="J2" s="3"/>
      <c r="K2" s="3"/>
    </row>
    <row r="3" spans="1:11" x14ac:dyDescent="0.3">
      <c r="A3" s="4" t="s">
        <v>433</v>
      </c>
      <c r="B3" t="s">
        <v>470</v>
      </c>
      <c r="F3" t="s">
        <v>420</v>
      </c>
      <c r="G3" t="str">
        <f>INDEX(Investment_Helper!A:A,MATCH(G2,Investment_Helper!B:B,0))</f>
        <v>buidl</v>
      </c>
    </row>
    <row r="4" spans="1:11" ht="28.8" x14ac:dyDescent="0.3">
      <c r="A4" s="5" t="s">
        <v>97</v>
      </c>
      <c r="B4">
        <v>0</v>
      </c>
      <c r="F4" s="3" t="s">
        <v>471</v>
      </c>
      <c r="G4" s="3">
        <f>INDEX(Investment_Helper!C:C,MATCH(G2,Investment_Helper!B:B,0))</f>
        <v>1</v>
      </c>
    </row>
    <row r="5" spans="1:11" ht="28.8" x14ac:dyDescent="0.3">
      <c r="A5" s="5" t="s">
        <v>393</v>
      </c>
      <c r="B5">
        <v>0</v>
      </c>
      <c r="F5" s="3" t="s">
        <v>472</v>
      </c>
      <c r="G5" s="3">
        <f>B4</f>
        <v>0</v>
      </c>
    </row>
    <row r="6" spans="1:11" ht="28.8" x14ac:dyDescent="0.3">
      <c r="A6" s="5" t="s">
        <v>31</v>
      </c>
      <c r="B6">
        <v>1.9715563399122743E-3</v>
      </c>
      <c r="F6" s="3" t="s">
        <v>473</v>
      </c>
      <c r="G6" s="3">
        <f>COUNTA(A:A)-3</f>
        <v>200</v>
      </c>
    </row>
    <row r="7" spans="1:11" x14ac:dyDescent="0.3">
      <c r="A7" s="5" t="s">
        <v>121</v>
      </c>
      <c r="B7">
        <v>4.474826107900752E-3</v>
      </c>
    </row>
    <row r="8" spans="1:11" x14ac:dyDescent="0.3">
      <c r="A8" s="5" t="s">
        <v>145</v>
      </c>
      <c r="B8">
        <v>6.665635320849986E-3</v>
      </c>
    </row>
    <row r="9" spans="1:11" x14ac:dyDescent="0.3">
      <c r="A9" s="5" t="s">
        <v>95</v>
      </c>
      <c r="B9">
        <v>7.3786418213555964E-3</v>
      </c>
    </row>
    <row r="10" spans="1:11" x14ac:dyDescent="0.3">
      <c r="A10" s="5" t="s">
        <v>231</v>
      </c>
      <c r="B10">
        <v>8.0419175519105546E-3</v>
      </c>
    </row>
    <row r="11" spans="1:11" x14ac:dyDescent="0.3">
      <c r="A11" s="5" t="s">
        <v>81</v>
      </c>
      <c r="B11">
        <v>8.2838655368957254E-3</v>
      </c>
    </row>
    <row r="12" spans="1:11" x14ac:dyDescent="0.3">
      <c r="A12" s="5" t="s">
        <v>47</v>
      </c>
      <c r="B12">
        <v>1.0685776516750034E-2</v>
      </c>
    </row>
    <row r="13" spans="1:11" x14ac:dyDescent="0.3">
      <c r="A13" s="5" t="s">
        <v>223</v>
      </c>
      <c r="B13">
        <v>1.096177967230255E-2</v>
      </c>
    </row>
    <row r="14" spans="1:11" x14ac:dyDescent="0.3">
      <c r="A14" s="5" t="s">
        <v>297</v>
      </c>
      <c r="B14">
        <v>1.2066996152378646E-2</v>
      </c>
    </row>
    <row r="15" spans="1:11" x14ac:dyDescent="0.3">
      <c r="A15" s="5" t="s">
        <v>207</v>
      </c>
      <c r="B15">
        <v>1.5797889901502975E-2</v>
      </c>
    </row>
    <row r="16" spans="1:11" x14ac:dyDescent="0.3">
      <c r="A16" s="5" t="s">
        <v>377</v>
      </c>
      <c r="B16">
        <v>1.5910256361084448E-2</v>
      </c>
    </row>
    <row r="17" spans="1:2" x14ac:dyDescent="0.3">
      <c r="A17" s="5" t="s">
        <v>357</v>
      </c>
      <c r="B17">
        <v>1.6199983222049155E-2</v>
      </c>
    </row>
    <row r="18" spans="1:2" x14ac:dyDescent="0.3">
      <c r="A18" s="5" t="s">
        <v>71</v>
      </c>
      <c r="B18">
        <v>1.6210213054715854E-2</v>
      </c>
    </row>
    <row r="19" spans="1:2" x14ac:dyDescent="0.3">
      <c r="A19" s="5" t="s">
        <v>25</v>
      </c>
      <c r="B19">
        <v>1.848358958665294E-2</v>
      </c>
    </row>
    <row r="20" spans="1:2" x14ac:dyDescent="0.3">
      <c r="A20" s="5" t="s">
        <v>263</v>
      </c>
      <c r="B20">
        <v>1.907342635779807E-2</v>
      </c>
    </row>
    <row r="21" spans="1:2" x14ac:dyDescent="0.3">
      <c r="A21" s="5" t="s">
        <v>157</v>
      </c>
      <c r="B21">
        <v>2.0160313083760349E-2</v>
      </c>
    </row>
    <row r="22" spans="1:2" x14ac:dyDescent="0.3">
      <c r="A22" s="5" t="s">
        <v>65</v>
      </c>
      <c r="B22">
        <v>2.0269757310464275E-2</v>
      </c>
    </row>
    <row r="23" spans="1:2" x14ac:dyDescent="0.3">
      <c r="A23" s="5" t="s">
        <v>131</v>
      </c>
      <c r="B23">
        <v>2.117131089384594E-2</v>
      </c>
    </row>
    <row r="24" spans="1:2" x14ac:dyDescent="0.3">
      <c r="A24" s="5" t="s">
        <v>253</v>
      </c>
      <c r="B24">
        <v>2.4230574393061508E-2</v>
      </c>
    </row>
    <row r="25" spans="1:2" x14ac:dyDescent="0.3">
      <c r="A25" s="5" t="s">
        <v>211</v>
      </c>
      <c r="B25">
        <v>2.5120865103917794E-2</v>
      </c>
    </row>
    <row r="26" spans="1:2" x14ac:dyDescent="0.3">
      <c r="A26" s="5" t="s">
        <v>163</v>
      </c>
      <c r="B26">
        <v>2.5288194857630956E-2</v>
      </c>
    </row>
    <row r="27" spans="1:2" x14ac:dyDescent="0.3">
      <c r="A27" s="5" t="s">
        <v>371</v>
      </c>
      <c r="B27">
        <v>2.9483685999951919E-2</v>
      </c>
    </row>
    <row r="28" spans="1:2" x14ac:dyDescent="0.3">
      <c r="A28" s="5" t="s">
        <v>161</v>
      </c>
      <c r="B28">
        <v>3.0967783972021382E-2</v>
      </c>
    </row>
    <row r="29" spans="1:2" x14ac:dyDescent="0.3">
      <c r="A29" s="5" t="s">
        <v>119</v>
      </c>
      <c r="B29">
        <v>3.3148408981939402E-2</v>
      </c>
    </row>
    <row r="30" spans="1:2" x14ac:dyDescent="0.3">
      <c r="A30" s="5" t="s">
        <v>213</v>
      </c>
      <c r="B30">
        <v>3.6519695881770127E-2</v>
      </c>
    </row>
    <row r="31" spans="1:2" x14ac:dyDescent="0.3">
      <c r="A31" s="5" t="s">
        <v>141</v>
      </c>
      <c r="B31">
        <v>3.6663489766881559E-2</v>
      </c>
    </row>
    <row r="32" spans="1:2" x14ac:dyDescent="0.3">
      <c r="A32" s="5" t="s">
        <v>69</v>
      </c>
      <c r="B32">
        <v>3.7301393873145856E-2</v>
      </c>
    </row>
    <row r="33" spans="1:2" x14ac:dyDescent="0.3">
      <c r="A33" s="5" t="s">
        <v>169</v>
      </c>
      <c r="B33">
        <v>4.0930701174399307E-2</v>
      </c>
    </row>
    <row r="34" spans="1:2" x14ac:dyDescent="0.3">
      <c r="A34" s="5" t="s">
        <v>89</v>
      </c>
      <c r="B34">
        <v>4.4525544656944478E-2</v>
      </c>
    </row>
    <row r="35" spans="1:2" x14ac:dyDescent="0.3">
      <c r="A35" s="5" t="s">
        <v>273</v>
      </c>
      <c r="B35">
        <v>4.683799584900241E-2</v>
      </c>
    </row>
    <row r="36" spans="1:2" x14ac:dyDescent="0.3">
      <c r="A36" s="5" t="s">
        <v>347</v>
      </c>
      <c r="B36">
        <v>5.8366389990177875E-2</v>
      </c>
    </row>
    <row r="37" spans="1:2" x14ac:dyDescent="0.3">
      <c r="A37" s="5" t="s">
        <v>419</v>
      </c>
      <c r="B37">
        <v>6.5827635538836526E-2</v>
      </c>
    </row>
    <row r="38" spans="1:2" x14ac:dyDescent="0.3">
      <c r="A38" s="5" t="s">
        <v>415</v>
      </c>
      <c r="B38">
        <v>7.5670987021340619E-2</v>
      </c>
    </row>
    <row r="39" spans="1:2" x14ac:dyDescent="0.3">
      <c r="A39" s="5" t="s">
        <v>229</v>
      </c>
      <c r="B39">
        <v>7.9401384713399081E-2</v>
      </c>
    </row>
    <row r="40" spans="1:2" x14ac:dyDescent="0.3">
      <c r="A40" s="5" t="s">
        <v>313</v>
      </c>
      <c r="B40">
        <v>8.5827684619078706E-2</v>
      </c>
    </row>
    <row r="41" spans="1:2" x14ac:dyDescent="0.3">
      <c r="A41" s="5" t="s">
        <v>331</v>
      </c>
      <c r="B41">
        <v>0.11950663967251314</v>
      </c>
    </row>
    <row r="42" spans="1:2" x14ac:dyDescent="0.3">
      <c r="A42" s="5" t="s">
        <v>203</v>
      </c>
      <c r="B42">
        <v>0.12293897749217586</v>
      </c>
    </row>
    <row r="43" spans="1:2" x14ac:dyDescent="0.3">
      <c r="A43" s="5" t="s">
        <v>359</v>
      </c>
      <c r="B43">
        <v>0.12971613447894845</v>
      </c>
    </row>
    <row r="44" spans="1:2" x14ac:dyDescent="0.3">
      <c r="A44" s="5" t="s">
        <v>417</v>
      </c>
      <c r="B44">
        <v>0.13190511387343123</v>
      </c>
    </row>
    <row r="45" spans="1:2" x14ac:dyDescent="0.3">
      <c r="A45" s="5" t="s">
        <v>37</v>
      </c>
      <c r="B45">
        <v>0.14702941343469161</v>
      </c>
    </row>
    <row r="46" spans="1:2" x14ac:dyDescent="0.3">
      <c r="A46" s="5" t="s">
        <v>83</v>
      </c>
      <c r="B46">
        <v>0.21627177412732701</v>
      </c>
    </row>
    <row r="47" spans="1:2" x14ac:dyDescent="0.3">
      <c r="A47" s="5" t="s">
        <v>105</v>
      </c>
      <c r="B47">
        <v>0.23082437659711372</v>
      </c>
    </row>
    <row r="48" spans="1:2" x14ac:dyDescent="0.3">
      <c r="A48" s="5" t="s">
        <v>251</v>
      </c>
      <c r="B48">
        <v>0.34033952279899271</v>
      </c>
    </row>
    <row r="49" spans="1:2" x14ac:dyDescent="0.3">
      <c r="A49" s="5" t="s">
        <v>153</v>
      </c>
      <c r="B49">
        <v>0.35300397926233079</v>
      </c>
    </row>
    <row r="50" spans="1:2" x14ac:dyDescent="0.3">
      <c r="A50" s="5" t="s">
        <v>257</v>
      </c>
      <c r="B50">
        <v>0.36253028543480004</v>
      </c>
    </row>
    <row r="51" spans="1:2" x14ac:dyDescent="0.3">
      <c r="A51" s="5" t="s">
        <v>49</v>
      </c>
      <c r="B51">
        <v>0.38558720393861828</v>
      </c>
    </row>
    <row r="52" spans="1:2" x14ac:dyDescent="0.3">
      <c r="A52" s="5" t="s">
        <v>373</v>
      </c>
      <c r="B52">
        <v>0.44459252758342127</v>
      </c>
    </row>
    <row r="53" spans="1:2" x14ac:dyDescent="0.3">
      <c r="A53" s="5" t="s">
        <v>305</v>
      </c>
      <c r="B53">
        <v>0.58545338477202835</v>
      </c>
    </row>
    <row r="54" spans="1:2" x14ac:dyDescent="0.3">
      <c r="A54" s="5" t="s">
        <v>99</v>
      </c>
      <c r="B54">
        <v>0.66335436130651593</v>
      </c>
    </row>
    <row r="55" spans="1:2" x14ac:dyDescent="0.3">
      <c r="A55" s="5" t="s">
        <v>155</v>
      </c>
      <c r="B55">
        <v>0.8205867774727994</v>
      </c>
    </row>
    <row r="56" spans="1:2" x14ac:dyDescent="0.3">
      <c r="A56" s="5" t="s">
        <v>267</v>
      </c>
      <c r="B56">
        <v>0.86434673629720171</v>
      </c>
    </row>
    <row r="57" spans="1:2" x14ac:dyDescent="0.3">
      <c r="A57" s="5" t="s">
        <v>235</v>
      </c>
      <c r="B57">
        <v>0.91862407489699027</v>
      </c>
    </row>
    <row r="58" spans="1:2" x14ac:dyDescent="0.3">
      <c r="A58" s="5" t="s">
        <v>409</v>
      </c>
      <c r="B58">
        <v>0.97443203313298798</v>
      </c>
    </row>
    <row r="59" spans="1:2" x14ac:dyDescent="0.3">
      <c r="A59" s="5" t="s">
        <v>43</v>
      </c>
      <c r="B59">
        <v>0.98825789227540983</v>
      </c>
    </row>
    <row r="60" spans="1:2" x14ac:dyDescent="0.3">
      <c r="A60" s="5" t="s">
        <v>227</v>
      </c>
      <c r="B60">
        <v>1.0007794046697893</v>
      </c>
    </row>
    <row r="61" spans="1:2" x14ac:dyDescent="0.3">
      <c r="A61" s="5" t="s">
        <v>21</v>
      </c>
      <c r="B61">
        <v>1.0845339454788574</v>
      </c>
    </row>
    <row r="62" spans="1:2" x14ac:dyDescent="0.3">
      <c r="A62" s="5" t="s">
        <v>55</v>
      </c>
      <c r="B62">
        <v>1.1655746034872225</v>
      </c>
    </row>
    <row r="63" spans="1:2" x14ac:dyDescent="0.3">
      <c r="A63" s="5" t="s">
        <v>335</v>
      </c>
      <c r="B63">
        <v>1.209769788232254</v>
      </c>
    </row>
    <row r="64" spans="1:2" x14ac:dyDescent="0.3">
      <c r="A64" s="5" t="s">
        <v>261</v>
      </c>
      <c r="B64">
        <v>1.2964360506360364</v>
      </c>
    </row>
    <row r="65" spans="1:2" x14ac:dyDescent="0.3">
      <c r="A65" s="5" t="s">
        <v>135</v>
      </c>
      <c r="B65">
        <v>1.3901983340606823</v>
      </c>
    </row>
    <row r="66" spans="1:2" x14ac:dyDescent="0.3">
      <c r="A66" s="5" t="s">
        <v>35</v>
      </c>
      <c r="B66">
        <v>1.4030388265795708</v>
      </c>
    </row>
    <row r="67" spans="1:2" x14ac:dyDescent="0.3">
      <c r="A67" s="5" t="s">
        <v>137</v>
      </c>
      <c r="B67">
        <v>1.4395620552849946</v>
      </c>
    </row>
    <row r="68" spans="1:2" x14ac:dyDescent="0.3">
      <c r="A68" s="5" t="s">
        <v>175</v>
      </c>
      <c r="B68">
        <v>1.4704965225385649</v>
      </c>
    </row>
    <row r="69" spans="1:2" x14ac:dyDescent="0.3">
      <c r="A69" s="5" t="s">
        <v>93</v>
      </c>
      <c r="B69">
        <v>1.4742286846111188</v>
      </c>
    </row>
    <row r="70" spans="1:2" x14ac:dyDescent="0.3">
      <c r="A70" s="5" t="s">
        <v>109</v>
      </c>
      <c r="B70">
        <v>1.4861668036681897</v>
      </c>
    </row>
    <row r="71" spans="1:2" x14ac:dyDescent="0.3">
      <c r="A71" s="5" t="s">
        <v>189</v>
      </c>
      <c r="B71">
        <v>1.4896481897081086</v>
      </c>
    </row>
    <row r="72" spans="1:2" x14ac:dyDescent="0.3">
      <c r="A72" s="5" t="s">
        <v>165</v>
      </c>
      <c r="B72">
        <v>1.5152047869082814</v>
      </c>
    </row>
    <row r="73" spans="1:2" x14ac:dyDescent="0.3">
      <c r="A73" s="5" t="s">
        <v>27</v>
      </c>
      <c r="B73">
        <v>1.5449977435911419</v>
      </c>
    </row>
    <row r="74" spans="1:2" x14ac:dyDescent="0.3">
      <c r="A74" s="5" t="s">
        <v>287</v>
      </c>
      <c r="B74">
        <v>1.5667669442857928</v>
      </c>
    </row>
    <row r="75" spans="1:2" x14ac:dyDescent="0.3">
      <c r="A75" s="5" t="s">
        <v>187</v>
      </c>
      <c r="B75">
        <v>1.5781879033219557</v>
      </c>
    </row>
    <row r="76" spans="1:2" x14ac:dyDescent="0.3">
      <c r="A76" s="5" t="s">
        <v>29</v>
      </c>
      <c r="B76">
        <v>1.5881108837756821</v>
      </c>
    </row>
    <row r="77" spans="1:2" x14ac:dyDescent="0.3">
      <c r="A77" s="5" t="s">
        <v>413</v>
      </c>
      <c r="B77">
        <v>1.6056411478980606</v>
      </c>
    </row>
    <row r="78" spans="1:2" x14ac:dyDescent="0.3">
      <c r="A78" s="5" t="s">
        <v>147</v>
      </c>
      <c r="B78">
        <v>1.6327944290404541</v>
      </c>
    </row>
    <row r="79" spans="1:2" x14ac:dyDescent="0.3">
      <c r="A79" s="5" t="s">
        <v>117</v>
      </c>
      <c r="B79">
        <v>1.6448245244376498</v>
      </c>
    </row>
    <row r="80" spans="1:2" x14ac:dyDescent="0.3">
      <c r="A80" s="5" t="s">
        <v>123</v>
      </c>
      <c r="B80">
        <v>1.6602662023973735</v>
      </c>
    </row>
    <row r="81" spans="1:2" x14ac:dyDescent="0.3">
      <c r="A81" s="5" t="s">
        <v>77</v>
      </c>
      <c r="B81">
        <v>1.6930504071632004</v>
      </c>
    </row>
    <row r="82" spans="1:2" x14ac:dyDescent="0.3">
      <c r="A82" s="5" t="s">
        <v>381</v>
      </c>
      <c r="B82">
        <v>1.7302185954101563</v>
      </c>
    </row>
    <row r="83" spans="1:2" x14ac:dyDescent="0.3">
      <c r="A83" s="5" t="s">
        <v>125</v>
      </c>
      <c r="B83">
        <v>1.7424839643904841</v>
      </c>
    </row>
    <row r="84" spans="1:2" x14ac:dyDescent="0.3">
      <c r="A84" s="5" t="s">
        <v>179</v>
      </c>
      <c r="B84">
        <v>1.7622048197739175</v>
      </c>
    </row>
    <row r="85" spans="1:2" x14ac:dyDescent="0.3">
      <c r="A85" s="5" t="s">
        <v>383</v>
      </c>
      <c r="B85">
        <v>1.8626421692507478</v>
      </c>
    </row>
    <row r="86" spans="1:2" x14ac:dyDescent="0.3">
      <c r="A86" s="5" t="s">
        <v>75</v>
      </c>
      <c r="B86">
        <v>1.9157790205729412</v>
      </c>
    </row>
    <row r="87" spans="1:2" x14ac:dyDescent="0.3">
      <c r="A87" s="5" t="s">
        <v>289</v>
      </c>
      <c r="B87">
        <v>1.9246988711407653</v>
      </c>
    </row>
    <row r="88" spans="1:2" x14ac:dyDescent="0.3">
      <c r="A88" s="5" t="s">
        <v>369</v>
      </c>
      <c r="B88">
        <v>1.9281393783855414</v>
      </c>
    </row>
    <row r="89" spans="1:2" x14ac:dyDescent="0.3">
      <c r="A89" s="5" t="s">
        <v>151</v>
      </c>
      <c r="B89">
        <v>1.9445024623602194</v>
      </c>
    </row>
    <row r="90" spans="1:2" x14ac:dyDescent="0.3">
      <c r="A90" s="5" t="s">
        <v>73</v>
      </c>
      <c r="B90">
        <v>2.0384201752216717</v>
      </c>
    </row>
    <row r="91" spans="1:2" x14ac:dyDescent="0.3">
      <c r="A91" s="5" t="s">
        <v>149</v>
      </c>
      <c r="B91">
        <v>2.1029069814138475</v>
      </c>
    </row>
    <row r="92" spans="1:2" x14ac:dyDescent="0.3">
      <c r="A92" s="5" t="s">
        <v>221</v>
      </c>
      <c r="B92">
        <v>2.1055486437240409</v>
      </c>
    </row>
    <row r="93" spans="1:2" x14ac:dyDescent="0.3">
      <c r="A93" s="5" t="s">
        <v>59</v>
      </c>
      <c r="B93">
        <v>2.1468473817193909</v>
      </c>
    </row>
    <row r="94" spans="1:2" x14ac:dyDescent="0.3">
      <c r="A94" s="5" t="s">
        <v>23</v>
      </c>
      <c r="B94">
        <v>2.1568625066543916</v>
      </c>
    </row>
    <row r="95" spans="1:2" x14ac:dyDescent="0.3">
      <c r="A95" s="5" t="s">
        <v>51</v>
      </c>
      <c r="B95">
        <v>2.1803211736467643</v>
      </c>
    </row>
    <row r="96" spans="1:2" x14ac:dyDescent="0.3">
      <c r="A96" s="5" t="s">
        <v>367</v>
      </c>
      <c r="B96">
        <v>2.2834380872330993</v>
      </c>
    </row>
    <row r="97" spans="1:2" x14ac:dyDescent="0.3">
      <c r="A97" s="5" t="s">
        <v>355</v>
      </c>
      <c r="B97">
        <v>2.3487325210473045</v>
      </c>
    </row>
    <row r="98" spans="1:2" x14ac:dyDescent="0.3">
      <c r="A98" s="5" t="s">
        <v>309</v>
      </c>
      <c r="B98">
        <v>2.3612019333930334</v>
      </c>
    </row>
    <row r="99" spans="1:2" x14ac:dyDescent="0.3">
      <c r="A99" s="5" t="s">
        <v>33</v>
      </c>
      <c r="B99">
        <v>2.3992153582513622</v>
      </c>
    </row>
    <row r="100" spans="1:2" x14ac:dyDescent="0.3">
      <c r="A100" s="5" t="s">
        <v>241</v>
      </c>
      <c r="B100">
        <v>2.4317652390687301</v>
      </c>
    </row>
    <row r="101" spans="1:2" x14ac:dyDescent="0.3">
      <c r="A101" s="5" t="s">
        <v>255</v>
      </c>
      <c r="B101">
        <v>2.4403766488545489</v>
      </c>
    </row>
    <row r="102" spans="1:2" x14ac:dyDescent="0.3">
      <c r="A102" s="5" t="s">
        <v>237</v>
      </c>
      <c r="B102">
        <v>2.4455767743069683</v>
      </c>
    </row>
    <row r="103" spans="1:2" x14ac:dyDescent="0.3">
      <c r="A103" s="5" t="s">
        <v>239</v>
      </c>
      <c r="B103">
        <v>2.4512737595679233</v>
      </c>
    </row>
    <row r="104" spans="1:2" x14ac:dyDescent="0.3">
      <c r="A104" s="5" t="s">
        <v>107</v>
      </c>
      <c r="B104">
        <v>2.4588286875529248</v>
      </c>
    </row>
    <row r="105" spans="1:2" x14ac:dyDescent="0.3">
      <c r="A105" s="5" t="s">
        <v>57</v>
      </c>
      <c r="B105">
        <v>2.4687886164848014</v>
      </c>
    </row>
    <row r="106" spans="1:2" x14ac:dyDescent="0.3">
      <c r="A106" s="5" t="s">
        <v>315</v>
      </c>
      <c r="B106">
        <v>2.4710615312274005</v>
      </c>
    </row>
    <row r="107" spans="1:2" x14ac:dyDescent="0.3">
      <c r="A107" s="5" t="s">
        <v>339</v>
      </c>
      <c r="B107">
        <v>2.4919021456701045</v>
      </c>
    </row>
    <row r="108" spans="1:2" x14ac:dyDescent="0.3">
      <c r="A108" s="5" t="s">
        <v>87</v>
      </c>
      <c r="B108">
        <v>2.5651519308733524</v>
      </c>
    </row>
    <row r="109" spans="1:2" x14ac:dyDescent="0.3">
      <c r="A109" s="5" t="s">
        <v>171</v>
      </c>
      <c r="B109">
        <v>2.5846705958149934</v>
      </c>
    </row>
    <row r="110" spans="1:2" x14ac:dyDescent="0.3">
      <c r="A110" s="5" t="s">
        <v>361</v>
      </c>
      <c r="B110">
        <v>2.5922295532866477</v>
      </c>
    </row>
    <row r="111" spans="1:2" x14ac:dyDescent="0.3">
      <c r="A111" s="5" t="s">
        <v>403</v>
      </c>
      <c r="B111">
        <v>2.6430346720172357</v>
      </c>
    </row>
    <row r="112" spans="1:2" x14ac:dyDescent="0.3">
      <c r="A112" s="5" t="s">
        <v>159</v>
      </c>
      <c r="B112">
        <v>2.6637072816742577</v>
      </c>
    </row>
    <row r="113" spans="1:2" x14ac:dyDescent="0.3">
      <c r="A113" s="5" t="s">
        <v>341</v>
      </c>
      <c r="B113">
        <v>2.7470507356127798</v>
      </c>
    </row>
    <row r="114" spans="1:2" x14ac:dyDescent="0.3">
      <c r="A114" s="5" t="s">
        <v>349</v>
      </c>
      <c r="B114">
        <v>2.7521370798796743</v>
      </c>
    </row>
    <row r="115" spans="1:2" x14ac:dyDescent="0.3">
      <c r="A115" s="5" t="s">
        <v>191</v>
      </c>
      <c r="B115">
        <v>2.8333157331588343</v>
      </c>
    </row>
    <row r="116" spans="1:2" x14ac:dyDescent="0.3">
      <c r="A116" s="5" t="s">
        <v>411</v>
      </c>
      <c r="B116">
        <v>2.852271023557583</v>
      </c>
    </row>
    <row r="117" spans="1:2" x14ac:dyDescent="0.3">
      <c r="A117" s="5" t="s">
        <v>391</v>
      </c>
      <c r="B117">
        <v>2.8729593702008853</v>
      </c>
    </row>
    <row r="118" spans="1:2" x14ac:dyDescent="0.3">
      <c r="A118" s="5" t="s">
        <v>197</v>
      </c>
      <c r="B118">
        <v>2.8941519644992035</v>
      </c>
    </row>
    <row r="119" spans="1:2" x14ac:dyDescent="0.3">
      <c r="A119" s="5" t="s">
        <v>225</v>
      </c>
      <c r="B119">
        <v>2.9175259693839704</v>
      </c>
    </row>
    <row r="120" spans="1:2" x14ac:dyDescent="0.3">
      <c r="A120" s="5" t="s">
        <v>217</v>
      </c>
      <c r="B120">
        <v>2.954398023971597</v>
      </c>
    </row>
    <row r="121" spans="1:2" x14ac:dyDescent="0.3">
      <c r="A121" s="5" t="s">
        <v>193</v>
      </c>
      <c r="B121">
        <v>2.9859771839413463</v>
      </c>
    </row>
    <row r="122" spans="1:2" x14ac:dyDescent="0.3">
      <c r="A122" s="5" t="s">
        <v>259</v>
      </c>
      <c r="B122">
        <v>3.0114374847761414</v>
      </c>
    </row>
    <row r="123" spans="1:2" x14ac:dyDescent="0.3">
      <c r="A123" s="5" t="s">
        <v>85</v>
      </c>
      <c r="B123">
        <v>3.0662670354343775</v>
      </c>
    </row>
    <row r="124" spans="1:2" x14ac:dyDescent="0.3">
      <c r="A124" s="5" t="s">
        <v>61</v>
      </c>
      <c r="B124">
        <v>3.0734412864465575</v>
      </c>
    </row>
    <row r="125" spans="1:2" x14ac:dyDescent="0.3">
      <c r="A125" s="5" t="s">
        <v>185</v>
      </c>
      <c r="B125">
        <v>3.0984107533933147</v>
      </c>
    </row>
    <row r="126" spans="1:2" x14ac:dyDescent="0.3">
      <c r="A126" s="5" t="s">
        <v>143</v>
      </c>
      <c r="B126">
        <v>3.1079682384287053</v>
      </c>
    </row>
    <row r="127" spans="1:2" x14ac:dyDescent="0.3">
      <c r="A127" s="5" t="s">
        <v>205</v>
      </c>
      <c r="B127">
        <v>3.1123755303926175</v>
      </c>
    </row>
    <row r="128" spans="1:2" x14ac:dyDescent="0.3">
      <c r="A128" s="5" t="s">
        <v>181</v>
      </c>
      <c r="B128">
        <v>3.1848935740061286</v>
      </c>
    </row>
    <row r="129" spans="1:2" x14ac:dyDescent="0.3">
      <c r="A129" s="5" t="s">
        <v>209</v>
      </c>
      <c r="B129">
        <v>3.1941765478408768</v>
      </c>
    </row>
    <row r="130" spans="1:2" x14ac:dyDescent="0.3">
      <c r="A130" s="5" t="s">
        <v>401</v>
      </c>
      <c r="B130">
        <v>3.19485931804113</v>
      </c>
    </row>
    <row r="131" spans="1:2" x14ac:dyDescent="0.3">
      <c r="A131" s="5" t="s">
        <v>113</v>
      </c>
      <c r="B131">
        <v>3.2075099628867458</v>
      </c>
    </row>
    <row r="132" spans="1:2" x14ac:dyDescent="0.3">
      <c r="A132" s="5" t="s">
        <v>323</v>
      </c>
      <c r="B132">
        <v>3.2115746669617002</v>
      </c>
    </row>
    <row r="133" spans="1:2" x14ac:dyDescent="0.3">
      <c r="A133" s="5" t="s">
        <v>129</v>
      </c>
      <c r="B133">
        <v>3.2128639064952687</v>
      </c>
    </row>
    <row r="134" spans="1:2" x14ac:dyDescent="0.3">
      <c r="A134" s="5" t="s">
        <v>39</v>
      </c>
      <c r="B134">
        <v>3.2459596479323047</v>
      </c>
    </row>
    <row r="135" spans="1:2" x14ac:dyDescent="0.3">
      <c r="A135" s="5" t="s">
        <v>353</v>
      </c>
      <c r="B135">
        <v>3.326015732901682</v>
      </c>
    </row>
    <row r="136" spans="1:2" x14ac:dyDescent="0.3">
      <c r="A136" s="5" t="s">
        <v>139</v>
      </c>
      <c r="B136">
        <v>3.3656394617119765</v>
      </c>
    </row>
    <row r="137" spans="1:2" x14ac:dyDescent="0.3">
      <c r="A137" s="5" t="s">
        <v>317</v>
      </c>
      <c r="B137">
        <v>3.390627462373093</v>
      </c>
    </row>
    <row r="138" spans="1:2" x14ac:dyDescent="0.3">
      <c r="A138" s="5" t="s">
        <v>245</v>
      </c>
      <c r="B138">
        <v>3.4015742179449617</v>
      </c>
    </row>
    <row r="139" spans="1:2" x14ac:dyDescent="0.3">
      <c r="A139" s="5" t="s">
        <v>319</v>
      </c>
      <c r="B139">
        <v>3.4078416485935357</v>
      </c>
    </row>
    <row r="140" spans="1:2" x14ac:dyDescent="0.3">
      <c r="A140" s="5" t="s">
        <v>167</v>
      </c>
      <c r="B140">
        <v>3.4272843170731249</v>
      </c>
    </row>
    <row r="141" spans="1:2" x14ac:dyDescent="0.3">
      <c r="A141" s="5" t="s">
        <v>103</v>
      </c>
      <c r="B141">
        <v>3.5315959653342972</v>
      </c>
    </row>
    <row r="142" spans="1:2" x14ac:dyDescent="0.3">
      <c r="A142" s="5" t="s">
        <v>389</v>
      </c>
      <c r="B142">
        <v>3.5367396128324309</v>
      </c>
    </row>
    <row r="143" spans="1:2" x14ac:dyDescent="0.3">
      <c r="A143" s="5" t="s">
        <v>271</v>
      </c>
      <c r="B143">
        <v>3.6107702135954671</v>
      </c>
    </row>
    <row r="144" spans="1:2" x14ac:dyDescent="0.3">
      <c r="A144" s="5" t="s">
        <v>173</v>
      </c>
      <c r="B144">
        <v>3.7151197699599172</v>
      </c>
    </row>
    <row r="145" spans="1:2" x14ac:dyDescent="0.3">
      <c r="A145" s="5" t="s">
        <v>247</v>
      </c>
      <c r="B145">
        <v>3.7177204964283095</v>
      </c>
    </row>
    <row r="146" spans="1:2" x14ac:dyDescent="0.3">
      <c r="A146" s="5" t="s">
        <v>63</v>
      </c>
      <c r="B146">
        <v>3.7296281226481054</v>
      </c>
    </row>
    <row r="147" spans="1:2" x14ac:dyDescent="0.3">
      <c r="A147" s="5" t="s">
        <v>397</v>
      </c>
      <c r="B147">
        <v>3.8013887038382403</v>
      </c>
    </row>
    <row r="148" spans="1:2" x14ac:dyDescent="0.3">
      <c r="A148" s="5" t="s">
        <v>345</v>
      </c>
      <c r="B148">
        <v>3.8098955211295107</v>
      </c>
    </row>
    <row r="149" spans="1:2" x14ac:dyDescent="0.3">
      <c r="A149" s="5" t="s">
        <v>265</v>
      </c>
      <c r="B149">
        <v>3.8120228503277289</v>
      </c>
    </row>
    <row r="150" spans="1:2" x14ac:dyDescent="0.3">
      <c r="A150" s="5" t="s">
        <v>243</v>
      </c>
      <c r="B150">
        <v>3.8950878527956352</v>
      </c>
    </row>
    <row r="151" spans="1:2" x14ac:dyDescent="0.3">
      <c r="A151" s="5" t="s">
        <v>127</v>
      </c>
      <c r="B151">
        <v>3.9974346295165772</v>
      </c>
    </row>
    <row r="152" spans="1:2" x14ac:dyDescent="0.3">
      <c r="A152" s="5" t="s">
        <v>375</v>
      </c>
      <c r="B152">
        <v>4.0027372690741014</v>
      </c>
    </row>
    <row r="153" spans="1:2" x14ac:dyDescent="0.3">
      <c r="A153" s="5" t="s">
        <v>277</v>
      </c>
      <c r="B153">
        <v>4.0793202720885828</v>
      </c>
    </row>
    <row r="154" spans="1:2" x14ac:dyDescent="0.3">
      <c r="A154" s="5" t="s">
        <v>215</v>
      </c>
      <c r="B154">
        <v>4.1134182364177239</v>
      </c>
    </row>
    <row r="155" spans="1:2" x14ac:dyDescent="0.3">
      <c r="A155" s="5" t="s">
        <v>327</v>
      </c>
      <c r="B155">
        <v>4.2054851163126488</v>
      </c>
    </row>
    <row r="156" spans="1:2" x14ac:dyDescent="0.3">
      <c r="A156" s="5" t="s">
        <v>333</v>
      </c>
      <c r="B156">
        <v>4.2408334611366421</v>
      </c>
    </row>
    <row r="157" spans="1:2" x14ac:dyDescent="0.3">
      <c r="A157" s="5" t="s">
        <v>281</v>
      </c>
      <c r="B157">
        <v>4.2455362758106778</v>
      </c>
    </row>
    <row r="158" spans="1:2" x14ac:dyDescent="0.3">
      <c r="A158" s="5" t="s">
        <v>177</v>
      </c>
      <c r="B158">
        <v>4.2726868413138517</v>
      </c>
    </row>
    <row r="159" spans="1:2" x14ac:dyDescent="0.3">
      <c r="A159" s="5" t="s">
        <v>307</v>
      </c>
      <c r="B159">
        <v>4.2781939176870827</v>
      </c>
    </row>
    <row r="160" spans="1:2" x14ac:dyDescent="0.3">
      <c r="A160" s="5" t="s">
        <v>201</v>
      </c>
      <c r="B160">
        <v>4.312946072020087</v>
      </c>
    </row>
    <row r="161" spans="1:2" x14ac:dyDescent="0.3">
      <c r="A161" s="5" t="s">
        <v>67</v>
      </c>
      <c r="B161">
        <v>4.4068229339029861</v>
      </c>
    </row>
    <row r="162" spans="1:2" x14ac:dyDescent="0.3">
      <c r="A162" s="5" t="s">
        <v>343</v>
      </c>
      <c r="B162">
        <v>4.518402781280022</v>
      </c>
    </row>
    <row r="163" spans="1:2" x14ac:dyDescent="0.3">
      <c r="A163" s="5" t="s">
        <v>301</v>
      </c>
      <c r="B163">
        <v>4.5425825132524862</v>
      </c>
    </row>
    <row r="164" spans="1:2" x14ac:dyDescent="0.3">
      <c r="A164" s="5" t="s">
        <v>283</v>
      </c>
      <c r="B164">
        <v>4.5616365703811868</v>
      </c>
    </row>
    <row r="165" spans="1:2" x14ac:dyDescent="0.3">
      <c r="A165" s="5" t="s">
        <v>111</v>
      </c>
      <c r="B165">
        <v>4.6349923747529873</v>
      </c>
    </row>
    <row r="166" spans="1:2" x14ac:dyDescent="0.3">
      <c r="A166" s="5" t="s">
        <v>311</v>
      </c>
      <c r="B166">
        <v>4.6413506742672075</v>
      </c>
    </row>
    <row r="167" spans="1:2" x14ac:dyDescent="0.3">
      <c r="A167" s="5" t="s">
        <v>91</v>
      </c>
      <c r="B167">
        <v>4.7274359330379676</v>
      </c>
    </row>
    <row r="168" spans="1:2" x14ac:dyDescent="0.3">
      <c r="A168" s="5" t="s">
        <v>249</v>
      </c>
      <c r="B168">
        <v>4.7995242664826696</v>
      </c>
    </row>
    <row r="169" spans="1:2" x14ac:dyDescent="0.3">
      <c r="A169" s="5" t="s">
        <v>275</v>
      </c>
      <c r="B169">
        <v>4.8549565453969992</v>
      </c>
    </row>
    <row r="170" spans="1:2" x14ac:dyDescent="0.3">
      <c r="A170" s="5" t="s">
        <v>337</v>
      </c>
      <c r="B170">
        <v>4.8967485711583949</v>
      </c>
    </row>
    <row r="171" spans="1:2" x14ac:dyDescent="0.3">
      <c r="A171" s="5" t="s">
        <v>233</v>
      </c>
      <c r="B171">
        <v>4.9283148113252082</v>
      </c>
    </row>
    <row r="172" spans="1:2" x14ac:dyDescent="0.3">
      <c r="A172" s="5" t="s">
        <v>219</v>
      </c>
      <c r="B172">
        <v>4.9962855389706959</v>
      </c>
    </row>
    <row r="173" spans="1:2" x14ac:dyDescent="0.3">
      <c r="A173" s="5" t="s">
        <v>407</v>
      </c>
      <c r="B173">
        <v>5.0527409508148624</v>
      </c>
    </row>
    <row r="174" spans="1:2" x14ac:dyDescent="0.3">
      <c r="A174" s="5" t="s">
        <v>199</v>
      </c>
      <c r="B174">
        <v>5.0701109556673858</v>
      </c>
    </row>
    <row r="175" spans="1:2" x14ac:dyDescent="0.3">
      <c r="A175" s="5" t="s">
        <v>53</v>
      </c>
      <c r="B175">
        <v>5.115428004760683</v>
      </c>
    </row>
    <row r="176" spans="1:2" x14ac:dyDescent="0.3">
      <c r="A176" s="5" t="s">
        <v>291</v>
      </c>
      <c r="B176">
        <v>5.2896161962701784</v>
      </c>
    </row>
    <row r="177" spans="1:2" x14ac:dyDescent="0.3">
      <c r="A177" s="5" t="s">
        <v>379</v>
      </c>
      <c r="B177">
        <v>5.3171434405203577</v>
      </c>
    </row>
    <row r="178" spans="1:2" x14ac:dyDescent="0.3">
      <c r="A178" s="5" t="s">
        <v>293</v>
      </c>
      <c r="B178">
        <v>5.3526422066060748</v>
      </c>
    </row>
    <row r="179" spans="1:2" x14ac:dyDescent="0.3">
      <c r="A179" s="5" t="s">
        <v>133</v>
      </c>
      <c r="B179">
        <v>5.4634387667089621</v>
      </c>
    </row>
    <row r="180" spans="1:2" x14ac:dyDescent="0.3">
      <c r="A180" s="5" t="s">
        <v>101</v>
      </c>
      <c r="B180">
        <v>5.7042797470153497</v>
      </c>
    </row>
    <row r="181" spans="1:2" x14ac:dyDescent="0.3">
      <c r="A181" s="5" t="s">
        <v>329</v>
      </c>
      <c r="B181">
        <v>6.1622052999534516</v>
      </c>
    </row>
    <row r="182" spans="1:2" x14ac:dyDescent="0.3">
      <c r="A182" s="5" t="s">
        <v>365</v>
      </c>
      <c r="B182">
        <v>6.1949276673898241</v>
      </c>
    </row>
    <row r="183" spans="1:2" x14ac:dyDescent="0.3">
      <c r="A183" s="5" t="s">
        <v>195</v>
      </c>
      <c r="B183">
        <v>6.2797104468220732</v>
      </c>
    </row>
    <row r="184" spans="1:2" x14ac:dyDescent="0.3">
      <c r="A184" s="5" t="s">
        <v>115</v>
      </c>
      <c r="B184">
        <v>6.3223841451474785</v>
      </c>
    </row>
    <row r="185" spans="1:2" x14ac:dyDescent="0.3">
      <c r="A185" s="5" t="s">
        <v>363</v>
      </c>
      <c r="B185">
        <v>6.3939241495993562</v>
      </c>
    </row>
    <row r="186" spans="1:2" x14ac:dyDescent="0.3">
      <c r="A186" s="5" t="s">
        <v>325</v>
      </c>
      <c r="B186">
        <v>6.4400047512679519</v>
      </c>
    </row>
    <row r="187" spans="1:2" x14ac:dyDescent="0.3">
      <c r="A187" s="5" t="s">
        <v>299</v>
      </c>
      <c r="B187">
        <v>6.8015055493608427</v>
      </c>
    </row>
    <row r="188" spans="1:2" x14ac:dyDescent="0.3">
      <c r="A188" s="5" t="s">
        <v>387</v>
      </c>
      <c r="B188">
        <v>7.2421212656486231</v>
      </c>
    </row>
    <row r="189" spans="1:2" x14ac:dyDescent="0.3">
      <c r="A189" s="5" t="s">
        <v>183</v>
      </c>
      <c r="B189">
        <v>8.1388350544690233</v>
      </c>
    </row>
    <row r="190" spans="1:2" x14ac:dyDescent="0.3">
      <c r="A190" s="5" t="s">
        <v>269</v>
      </c>
      <c r="B190">
        <v>8.2881051906309136</v>
      </c>
    </row>
    <row r="191" spans="1:2" x14ac:dyDescent="0.3">
      <c r="A191" s="5" t="s">
        <v>295</v>
      </c>
      <c r="B191">
        <v>8.8539349790934736</v>
      </c>
    </row>
    <row r="192" spans="1:2" x14ac:dyDescent="0.3">
      <c r="A192" s="5" t="s">
        <v>79</v>
      </c>
      <c r="B192">
        <v>10.452891739055127</v>
      </c>
    </row>
    <row r="193" spans="1:2" x14ac:dyDescent="0.3">
      <c r="A193" s="5" t="s">
        <v>395</v>
      </c>
      <c r="B193">
        <v>10.456374393305994</v>
      </c>
    </row>
    <row r="194" spans="1:2" x14ac:dyDescent="0.3">
      <c r="A194" s="5" t="s">
        <v>399</v>
      </c>
      <c r="B194">
        <v>11.279018958114785</v>
      </c>
    </row>
    <row r="195" spans="1:2" x14ac:dyDescent="0.3">
      <c r="A195" s="5" t="s">
        <v>45</v>
      </c>
      <c r="B195">
        <v>13.318376976859044</v>
      </c>
    </row>
    <row r="196" spans="1:2" x14ac:dyDescent="0.3">
      <c r="A196" s="5" t="s">
        <v>279</v>
      </c>
      <c r="B196">
        <v>16.32260116962993</v>
      </c>
    </row>
    <row r="197" spans="1:2" x14ac:dyDescent="0.3">
      <c r="A197" s="5" t="s">
        <v>303</v>
      </c>
      <c r="B197">
        <v>17.065043859487382</v>
      </c>
    </row>
    <row r="198" spans="1:2" x14ac:dyDescent="0.3">
      <c r="A198" s="5" t="s">
        <v>321</v>
      </c>
      <c r="B198">
        <v>18.4835929689601</v>
      </c>
    </row>
    <row r="199" spans="1:2" x14ac:dyDescent="0.3">
      <c r="A199" s="5" t="s">
        <v>41</v>
      </c>
      <c r="B199">
        <v>23.183757646619366</v>
      </c>
    </row>
    <row r="200" spans="1:2" x14ac:dyDescent="0.3">
      <c r="A200" s="5" t="s">
        <v>351</v>
      </c>
      <c r="B200">
        <v>23.946883221534282</v>
      </c>
    </row>
    <row r="201" spans="1:2" x14ac:dyDescent="0.3">
      <c r="A201" s="5" t="s">
        <v>285</v>
      </c>
      <c r="B201">
        <v>27.047756064338248</v>
      </c>
    </row>
    <row r="202" spans="1:2" x14ac:dyDescent="0.3">
      <c r="A202" s="5" t="s">
        <v>405</v>
      </c>
      <c r="B202">
        <v>27.072927280112751</v>
      </c>
    </row>
    <row r="203" spans="1:2" x14ac:dyDescent="0.3">
      <c r="A203" s="5" t="s">
        <v>385</v>
      </c>
      <c r="B203">
        <v>48.461288136269808</v>
      </c>
    </row>
    <row r="204" spans="1:2" x14ac:dyDescent="0.3">
      <c r="A204" s="5" t="s">
        <v>434</v>
      </c>
      <c r="B204">
        <v>700.43372479614891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05C7D-F8C0-4A11-BE72-5CA2CA2C0213}">
  <dimension ref="A1:H201"/>
  <sheetViews>
    <sheetView topLeftCell="A2" workbookViewId="0">
      <selection activeCell="J17" sqref="J17"/>
    </sheetView>
  </sheetViews>
  <sheetFormatPr defaultRowHeight="14.4" x14ac:dyDescent="0.3"/>
  <cols>
    <col min="1" max="1" width="9.21875" customWidth="1"/>
    <col min="3" max="3" width="14.33203125" customWidth="1"/>
    <col min="4" max="4" width="12.33203125" customWidth="1"/>
    <col min="5" max="5" width="13.33203125" customWidth="1"/>
    <col min="6" max="6" width="12.33203125" customWidth="1"/>
    <col min="7" max="7" width="13.21875" customWidth="1"/>
    <col min="8" max="8" width="14.5546875" customWidth="1"/>
  </cols>
  <sheetData>
    <row r="1" spans="1:8" x14ac:dyDescent="0.3">
      <c r="A1" s="15" t="s">
        <v>420</v>
      </c>
      <c r="B1" s="18" t="s">
        <v>427</v>
      </c>
      <c r="C1" s="15" t="s">
        <v>428</v>
      </c>
      <c r="D1" s="15" t="s">
        <v>425</v>
      </c>
      <c r="E1" s="15" t="s">
        <v>424</v>
      </c>
      <c r="F1" s="15" t="s">
        <v>426</v>
      </c>
      <c r="G1" s="19" t="s">
        <v>464</v>
      </c>
      <c r="H1" s="19" t="s">
        <v>432</v>
      </c>
    </row>
    <row r="2" spans="1:8" x14ac:dyDescent="0.3">
      <c r="A2" s="20" t="s">
        <v>20</v>
      </c>
      <c r="B2" s="16" t="s">
        <v>21</v>
      </c>
      <c r="C2" s="16">
        <v>77625</v>
      </c>
      <c r="D2" s="16">
        <v>-0.26998955724195595</v>
      </c>
      <c r="E2" s="16">
        <v>0.27544999999999997</v>
      </c>
      <c r="F2" s="16">
        <v>-2.7081622791946165</v>
      </c>
      <c r="G2" t="str">
        <f>IF(C2&lt;=0.05,"0-0.05",
IF(C2&lt;=0.5,"0.05-0.5",
IF(C2&lt;=5,"0.5-5",
IF(C2&lt;=50,"5-50","&gt;50"))))</f>
        <v>&gt;50</v>
      </c>
      <c r="H2">
        <f>AVERAGE(ABS(D2),ABS(E2),ABS(F2))</f>
        <v>1.0845339454788574</v>
      </c>
    </row>
    <row r="3" spans="1:8" x14ac:dyDescent="0.3">
      <c r="A3" s="21" t="s">
        <v>22</v>
      </c>
      <c r="B3" s="17" t="s">
        <v>23</v>
      </c>
      <c r="C3" s="17">
        <v>2127.3200000000002</v>
      </c>
      <c r="D3" s="17">
        <v>-0.35164690734941828</v>
      </c>
      <c r="E3" s="17">
        <v>-2.0459999999999999E-2</v>
      </c>
      <c r="F3" s="17">
        <v>-6.0984806126137565</v>
      </c>
      <c r="G3" t="str">
        <f t="shared" ref="G3:G66" si="0">IF(C3&lt;=0.05,"0-0.05",
IF(C3&lt;=0.5,"0.05-0.5",
IF(C3&lt;=5,"0.5-5",
IF(C3&lt;=50,"5-50","&gt;50"))))</f>
        <v>&gt;50</v>
      </c>
      <c r="H3">
        <f t="shared" ref="H3:H66" si="1">AVERAGE(ABS(D3),ABS(E3),ABS(F3))</f>
        <v>2.1568625066543916</v>
      </c>
    </row>
    <row r="4" spans="1:8" x14ac:dyDescent="0.3">
      <c r="A4" s="20" t="s">
        <v>24</v>
      </c>
      <c r="B4" s="16" t="s">
        <v>25</v>
      </c>
      <c r="C4" s="16">
        <v>0.99902000000000002</v>
      </c>
      <c r="D4" s="16">
        <v>-1.9520477448468752E-4</v>
      </c>
      <c r="E4" s="16">
        <v>1.1050000000000001E-2</v>
      </c>
      <c r="F4" s="16">
        <v>-4.4205563985474129E-2</v>
      </c>
      <c r="G4" t="str">
        <f t="shared" si="0"/>
        <v>0.5-5</v>
      </c>
      <c r="H4">
        <f t="shared" si="1"/>
        <v>1.848358958665294E-2</v>
      </c>
    </row>
    <row r="5" spans="1:8" x14ac:dyDescent="0.3">
      <c r="A5" s="21" t="s">
        <v>26</v>
      </c>
      <c r="B5" s="17" t="s">
        <v>27</v>
      </c>
      <c r="C5" s="17">
        <v>652.91</v>
      </c>
      <c r="D5" s="17">
        <v>-0.19746184012934381</v>
      </c>
      <c r="E5" s="17">
        <v>1.47464</v>
      </c>
      <c r="F5" s="17">
        <v>-2.9628913906440819</v>
      </c>
      <c r="G5" t="str">
        <f t="shared" si="0"/>
        <v>&gt;50</v>
      </c>
      <c r="H5">
        <f t="shared" si="1"/>
        <v>1.5449977435911419</v>
      </c>
    </row>
    <row r="6" spans="1:8" x14ac:dyDescent="0.3">
      <c r="A6" s="20" t="s">
        <v>28</v>
      </c>
      <c r="B6" s="16" t="s">
        <v>29</v>
      </c>
      <c r="C6" s="16">
        <v>1.37</v>
      </c>
      <c r="D6" s="16">
        <v>-0.3644693030301106</v>
      </c>
      <c r="E6" s="16">
        <v>0.25681999999999999</v>
      </c>
      <c r="F6" s="16">
        <v>-4.1430433482969358</v>
      </c>
      <c r="G6" t="str">
        <f t="shared" si="0"/>
        <v>0.5-5</v>
      </c>
      <c r="H6">
        <f t="shared" si="1"/>
        <v>1.5881108837756821</v>
      </c>
    </row>
    <row r="7" spans="1:8" x14ac:dyDescent="0.3">
      <c r="A7" s="21" t="s">
        <v>30</v>
      </c>
      <c r="B7" s="17" t="s">
        <v>31</v>
      </c>
      <c r="C7" s="17">
        <v>0.99968699999999999</v>
      </c>
      <c r="D7" s="17">
        <v>-5.64363787272031E-4</v>
      </c>
      <c r="E7" s="17">
        <v>-3.7499999999999999E-3</v>
      </c>
      <c r="F7" s="17">
        <v>-1.6003052324647926E-3</v>
      </c>
      <c r="G7" t="str">
        <f t="shared" si="0"/>
        <v>0.5-5</v>
      </c>
      <c r="H7">
        <f t="shared" si="1"/>
        <v>1.9715563399122743E-3</v>
      </c>
    </row>
    <row r="8" spans="1:8" x14ac:dyDescent="0.3">
      <c r="A8" s="20" t="s">
        <v>32</v>
      </c>
      <c r="B8" s="16" t="s">
        <v>33</v>
      </c>
      <c r="C8" s="16">
        <v>86.45</v>
      </c>
      <c r="D8" s="16">
        <v>-0.31254002498921779</v>
      </c>
      <c r="E8" s="16">
        <v>1.8313600000000001</v>
      </c>
      <c r="F8" s="16">
        <v>-5.0537460497648681</v>
      </c>
      <c r="G8" t="str">
        <f t="shared" si="0"/>
        <v>&gt;50</v>
      </c>
      <c r="H8">
        <f t="shared" si="1"/>
        <v>2.3992153582513622</v>
      </c>
    </row>
    <row r="9" spans="1:8" x14ac:dyDescent="0.3">
      <c r="A9" s="21" t="s">
        <v>34</v>
      </c>
      <c r="B9" s="17" t="s">
        <v>35</v>
      </c>
      <c r="C9" s="17">
        <v>0.36092299999999999</v>
      </c>
      <c r="D9" s="17">
        <v>0.39567427417631823</v>
      </c>
      <c r="E9" s="17">
        <v>1.20871</v>
      </c>
      <c r="F9" s="17">
        <v>2.6047322055623945</v>
      </c>
      <c r="G9" t="str">
        <f t="shared" si="0"/>
        <v>0.05-0.5</v>
      </c>
      <c r="H9">
        <f t="shared" si="1"/>
        <v>1.4030388265795708</v>
      </c>
    </row>
    <row r="10" spans="1:8" ht="28.8" x14ac:dyDescent="0.3">
      <c r="A10" s="20" t="s">
        <v>36</v>
      </c>
      <c r="B10" s="16" t="s">
        <v>37</v>
      </c>
      <c r="C10" s="16">
        <v>1.0349999999999999</v>
      </c>
      <c r="D10" s="16"/>
      <c r="E10" s="16">
        <v>0.28842000000000001</v>
      </c>
      <c r="F10" s="16">
        <v>0.15266824030407483</v>
      </c>
      <c r="G10" t="str">
        <f t="shared" si="0"/>
        <v>0.5-5</v>
      </c>
      <c r="H10">
        <f t="shared" si="1"/>
        <v>0.14702941343469161</v>
      </c>
    </row>
    <row r="11" spans="1:8" x14ac:dyDescent="0.3">
      <c r="A11" s="21" t="s">
        <v>38</v>
      </c>
      <c r="B11" s="17" t="s">
        <v>39</v>
      </c>
      <c r="C11" s="17">
        <v>0.10519299999999999</v>
      </c>
      <c r="D11" s="17">
        <v>-0.46872006955437379</v>
      </c>
      <c r="E11" s="17">
        <v>1.5492300000000001</v>
      </c>
      <c r="F11" s="17">
        <v>-7.7199288742425418</v>
      </c>
      <c r="G11" t="str">
        <f t="shared" si="0"/>
        <v>0.05-0.5</v>
      </c>
      <c r="H11">
        <f t="shared" si="1"/>
        <v>3.2459596479323047</v>
      </c>
    </row>
    <row r="12" spans="1:8" x14ac:dyDescent="0.3">
      <c r="A12" s="20" t="s">
        <v>40</v>
      </c>
      <c r="B12" s="16" t="s">
        <v>41</v>
      </c>
      <c r="C12" s="16">
        <v>58.51</v>
      </c>
      <c r="D12" s="16">
        <v>-1.3318135406100259E-2</v>
      </c>
      <c r="E12" s="16">
        <v>19.842790000000001</v>
      </c>
      <c r="F12" s="16">
        <v>49.695164804451998</v>
      </c>
      <c r="G12" t="str">
        <f t="shared" si="0"/>
        <v>&gt;50</v>
      </c>
      <c r="H12">
        <f t="shared" si="1"/>
        <v>23.183757646619366</v>
      </c>
    </row>
    <row r="13" spans="1:8" x14ac:dyDescent="0.3">
      <c r="A13" s="21" t="s">
        <v>42</v>
      </c>
      <c r="B13" s="17" t="s">
        <v>43</v>
      </c>
      <c r="C13" s="17">
        <v>57.18</v>
      </c>
      <c r="D13" s="17">
        <v>-0.24685902293482925</v>
      </c>
      <c r="E13" s="17">
        <v>8.9389999999999997E-2</v>
      </c>
      <c r="F13" s="17">
        <v>-2.6285246538914002</v>
      </c>
      <c r="G13" t="str">
        <f t="shared" si="0"/>
        <v>&gt;50</v>
      </c>
      <c r="H13">
        <f t="shared" si="1"/>
        <v>0.98825789227540983</v>
      </c>
    </row>
    <row r="14" spans="1:8" x14ac:dyDescent="0.3">
      <c r="A14" s="20" t="s">
        <v>44</v>
      </c>
      <c r="B14" s="16" t="s">
        <v>45</v>
      </c>
      <c r="C14" s="16">
        <v>665.49</v>
      </c>
      <c r="D14" s="16">
        <v>-9.4046672616777696E-2</v>
      </c>
      <c r="E14" s="16">
        <v>13.32569</v>
      </c>
      <c r="F14" s="16">
        <v>26.535394257960355</v>
      </c>
      <c r="G14" t="str">
        <f t="shared" si="0"/>
        <v>&gt;50</v>
      </c>
      <c r="H14">
        <f t="shared" si="1"/>
        <v>13.318376976859044</v>
      </c>
    </row>
    <row r="15" spans="1:8" x14ac:dyDescent="0.3">
      <c r="A15" s="21" t="s">
        <v>46</v>
      </c>
      <c r="B15" s="17" t="s">
        <v>47</v>
      </c>
      <c r="C15" s="17">
        <v>0.99964600000000003</v>
      </c>
      <c r="D15" s="17">
        <v>2.6770289844031442E-3</v>
      </c>
      <c r="E15" s="17">
        <v>5.0600000000000003E-3</v>
      </c>
      <c r="F15" s="17">
        <v>-2.4320300565846963E-2</v>
      </c>
      <c r="G15" t="str">
        <f t="shared" si="0"/>
        <v>0.5-5</v>
      </c>
      <c r="H15">
        <f t="shared" si="1"/>
        <v>1.0685776516750034E-2</v>
      </c>
    </row>
    <row r="16" spans="1:8" x14ac:dyDescent="0.3">
      <c r="A16" s="20" t="s">
        <v>48</v>
      </c>
      <c r="B16" s="16" t="s">
        <v>49</v>
      </c>
      <c r="C16" s="16">
        <v>10.06</v>
      </c>
      <c r="D16" s="16">
        <v>-0.23917070692341913</v>
      </c>
      <c r="E16" s="16">
        <v>0.19786000000000001</v>
      </c>
      <c r="F16" s="16">
        <v>-0.71973090489243552</v>
      </c>
      <c r="G16" t="str">
        <f t="shared" si="0"/>
        <v>5-50</v>
      </c>
      <c r="H16">
        <f t="shared" si="1"/>
        <v>0.38558720393861828</v>
      </c>
    </row>
    <row r="17" spans="1:8" x14ac:dyDescent="0.3">
      <c r="A17" s="21" t="s">
        <v>50</v>
      </c>
      <c r="B17" s="17" t="s">
        <v>51</v>
      </c>
      <c r="C17" s="17">
        <v>0.24875900000000001</v>
      </c>
      <c r="D17" s="17">
        <v>-0.29343451903324225</v>
      </c>
      <c r="E17" s="17">
        <v>-0.13300000000000001</v>
      </c>
      <c r="F17" s="17">
        <v>-6.1145290019070497</v>
      </c>
      <c r="G17" t="str">
        <f t="shared" si="0"/>
        <v>0.05-0.5</v>
      </c>
      <c r="H17">
        <f t="shared" si="1"/>
        <v>2.1803211736467643</v>
      </c>
    </row>
    <row r="18" spans="1:8" x14ac:dyDescent="0.3">
      <c r="A18" s="20" t="s">
        <v>52</v>
      </c>
      <c r="B18" s="16" t="s">
        <v>53</v>
      </c>
      <c r="C18" s="16">
        <v>376.18</v>
      </c>
      <c r="D18" s="16">
        <v>-0.17884023367537646</v>
      </c>
      <c r="E18" s="16">
        <v>1.87476</v>
      </c>
      <c r="F18" s="16">
        <v>-13.292683780606673</v>
      </c>
      <c r="G18" t="str">
        <f t="shared" si="0"/>
        <v>&gt;50</v>
      </c>
      <c r="H18">
        <f t="shared" si="1"/>
        <v>5.115428004760683</v>
      </c>
    </row>
    <row r="19" spans="1:8" x14ac:dyDescent="0.3">
      <c r="A19" s="21" t="s">
        <v>54</v>
      </c>
      <c r="B19" s="17" t="s">
        <v>55</v>
      </c>
      <c r="C19" s="17">
        <v>402.63</v>
      </c>
      <c r="D19" s="17">
        <v>-0.35748960128909968</v>
      </c>
      <c r="E19" s="17">
        <v>1.17431</v>
      </c>
      <c r="F19" s="17">
        <v>1.9649242091725676</v>
      </c>
      <c r="G19" t="str">
        <f t="shared" si="0"/>
        <v>&gt;50</v>
      </c>
      <c r="H19">
        <f t="shared" si="1"/>
        <v>1.1655746034872225</v>
      </c>
    </row>
    <row r="20" spans="1:8" x14ac:dyDescent="0.3">
      <c r="A20" s="20" t="s">
        <v>56</v>
      </c>
      <c r="B20" s="16" t="s">
        <v>57</v>
      </c>
      <c r="C20" s="16">
        <v>9.6199999999999992</v>
      </c>
      <c r="D20" s="16">
        <v>-0.76263507813969977</v>
      </c>
      <c r="E20" s="16">
        <v>0.27684999999999998</v>
      </c>
      <c r="F20" s="16">
        <v>-6.3668807713147046</v>
      </c>
      <c r="G20" t="str">
        <f t="shared" si="0"/>
        <v>5-50</v>
      </c>
      <c r="H20">
        <f t="shared" si="1"/>
        <v>2.4687886164848014</v>
      </c>
    </row>
    <row r="21" spans="1:8" x14ac:dyDescent="0.3">
      <c r="A21" s="21" t="s">
        <v>58</v>
      </c>
      <c r="B21" s="17" t="s">
        <v>59</v>
      </c>
      <c r="C21" s="17">
        <v>0.15551100000000001</v>
      </c>
      <c r="D21" s="17">
        <v>0.90759973187467158</v>
      </c>
      <c r="E21" s="17">
        <v>4.1122899999999998</v>
      </c>
      <c r="F21" s="17">
        <v>-1.4206524132835012</v>
      </c>
      <c r="G21" t="str">
        <f t="shared" si="0"/>
        <v>0.05-0.5</v>
      </c>
      <c r="H21">
        <f t="shared" si="1"/>
        <v>2.1468473817193909</v>
      </c>
    </row>
    <row r="22" spans="1:8" x14ac:dyDescent="0.3">
      <c r="A22" s="20" t="s">
        <v>60</v>
      </c>
      <c r="B22" s="16" t="s">
        <v>61</v>
      </c>
      <c r="C22" s="16">
        <v>2.04</v>
      </c>
      <c r="D22" s="16">
        <v>-0.84319713447796596</v>
      </c>
      <c r="E22" s="16">
        <v>4.1837299999999997</v>
      </c>
      <c r="F22" s="16">
        <v>-4.1933967248617057</v>
      </c>
      <c r="G22" t="str">
        <f t="shared" si="0"/>
        <v>0.5-5</v>
      </c>
      <c r="H22">
        <f t="shared" si="1"/>
        <v>3.0734412864465575</v>
      </c>
    </row>
    <row r="23" spans="1:8" x14ac:dyDescent="0.3">
      <c r="A23" s="21" t="s">
        <v>62</v>
      </c>
      <c r="B23" s="17" t="s">
        <v>63</v>
      </c>
      <c r="C23" s="17">
        <v>0.144819</v>
      </c>
      <c r="D23" s="17">
        <v>-0.58548653793091465</v>
      </c>
      <c r="E23" s="17">
        <v>1.5304199999999999</v>
      </c>
      <c r="F23" s="17">
        <v>-9.0729778300134019</v>
      </c>
      <c r="G23" t="str">
        <f t="shared" si="0"/>
        <v>0.05-0.5</v>
      </c>
      <c r="H23">
        <f t="shared" si="1"/>
        <v>3.7296281226481054</v>
      </c>
    </row>
    <row r="24" spans="1:8" x14ac:dyDescent="0.3">
      <c r="A24" s="20" t="s">
        <v>64</v>
      </c>
      <c r="B24" s="16" t="s">
        <v>65</v>
      </c>
      <c r="C24" s="16">
        <v>0.99992000000000003</v>
      </c>
      <c r="D24" s="16">
        <v>1.1011117154098476E-3</v>
      </c>
      <c r="E24" s="16">
        <v>3.0000000000000001E-5</v>
      </c>
      <c r="F24" s="16">
        <v>5.9678160215982982E-2</v>
      </c>
      <c r="G24" t="str">
        <f t="shared" si="0"/>
        <v>0.5-5</v>
      </c>
      <c r="H24">
        <f t="shared" si="1"/>
        <v>2.0269757310464275E-2</v>
      </c>
    </row>
    <row r="25" spans="1:8" x14ac:dyDescent="0.3">
      <c r="A25" s="21" t="s">
        <v>68</v>
      </c>
      <c r="B25" s="17" t="s">
        <v>69</v>
      </c>
      <c r="C25" s="17">
        <v>0.99930799999999997</v>
      </c>
      <c r="D25" s="17">
        <v>-2.3653087844086539E-3</v>
      </c>
      <c r="E25" s="17">
        <v>-1.5900000000000001E-2</v>
      </c>
      <c r="F25" s="17">
        <v>-9.3638872835028919E-2</v>
      </c>
      <c r="G25" t="str">
        <f t="shared" si="0"/>
        <v>0.5-5</v>
      </c>
      <c r="H25">
        <f t="shared" si="1"/>
        <v>3.7301393873145856E-2</v>
      </c>
    </row>
    <row r="26" spans="1:8" x14ac:dyDescent="0.3">
      <c r="A26" s="20" t="s">
        <v>66</v>
      </c>
      <c r="B26" s="16" t="s">
        <v>67</v>
      </c>
      <c r="C26" s="16">
        <v>1.1100000000000001</v>
      </c>
      <c r="D26" s="16">
        <v>-1.5169068696385468</v>
      </c>
      <c r="E26" s="16">
        <v>4.5434099999999997</v>
      </c>
      <c r="F26" s="16">
        <v>-7.1601519320704128</v>
      </c>
      <c r="G26" t="str">
        <f t="shared" si="0"/>
        <v>0.5-5</v>
      </c>
      <c r="H26">
        <f t="shared" si="1"/>
        <v>4.4068229339029861</v>
      </c>
    </row>
    <row r="27" spans="1:8" x14ac:dyDescent="0.3">
      <c r="A27" s="21" t="s">
        <v>70</v>
      </c>
      <c r="B27" s="17" t="s">
        <v>71</v>
      </c>
      <c r="C27" s="17">
        <v>0.99981900000000001</v>
      </c>
      <c r="D27" s="17">
        <v>8.3625673943511487E-4</v>
      </c>
      <c r="E27" s="17">
        <v>1.8280000000000001E-2</v>
      </c>
      <c r="F27" s="17">
        <v>2.9514382424712448E-2</v>
      </c>
      <c r="G27" t="str">
        <f t="shared" si="0"/>
        <v>0.5-5</v>
      </c>
      <c r="H27">
        <f t="shared" si="1"/>
        <v>1.6210213054715854E-2</v>
      </c>
    </row>
    <row r="28" spans="1:8" x14ac:dyDescent="0.3">
      <c r="A28" s="20" t="s">
        <v>72</v>
      </c>
      <c r="B28" s="16" t="s">
        <v>73</v>
      </c>
      <c r="C28" s="16">
        <v>54.03</v>
      </c>
      <c r="D28" s="16">
        <v>-0.62285887553227504</v>
      </c>
      <c r="E28" s="16">
        <v>-9.3060000000000004E-2</v>
      </c>
      <c r="F28" s="16">
        <v>-5.3993416501327403</v>
      </c>
      <c r="G28" t="str">
        <f t="shared" si="0"/>
        <v>&gt;50</v>
      </c>
      <c r="H28">
        <f t="shared" si="1"/>
        <v>2.0384201752216717</v>
      </c>
    </row>
    <row r="29" spans="1:8" x14ac:dyDescent="0.3">
      <c r="A29" s="21" t="s">
        <v>74</v>
      </c>
      <c r="B29" s="17" t="s">
        <v>75</v>
      </c>
      <c r="C29" s="17">
        <v>9.4</v>
      </c>
      <c r="D29" s="17">
        <v>-0.5270701326194368</v>
      </c>
      <c r="E29" s="17">
        <v>2.0732599999999999</v>
      </c>
      <c r="F29" s="17">
        <v>-3.1470069290993865</v>
      </c>
      <c r="G29" t="str">
        <f t="shared" si="0"/>
        <v>5-50</v>
      </c>
      <c r="H29">
        <f t="shared" si="1"/>
        <v>1.9157790205729412</v>
      </c>
    </row>
    <row r="30" spans="1:8" x14ac:dyDescent="0.3">
      <c r="A30" s="20" t="s">
        <v>76</v>
      </c>
      <c r="B30" s="16" t="s">
        <v>77</v>
      </c>
      <c r="C30" s="16">
        <v>8.8805999999999996E-2</v>
      </c>
      <c r="D30" s="16">
        <v>-0.18592621031752665</v>
      </c>
      <c r="E30" s="16">
        <v>-0.39122000000000001</v>
      </c>
      <c r="F30" s="16">
        <v>-4.5020050111720744</v>
      </c>
      <c r="G30" t="str">
        <f t="shared" si="0"/>
        <v>0.05-0.5</v>
      </c>
      <c r="H30">
        <f t="shared" si="1"/>
        <v>1.6930504071632004</v>
      </c>
    </row>
    <row r="31" spans="1:8" x14ac:dyDescent="0.3">
      <c r="A31" s="21" t="s">
        <v>78</v>
      </c>
      <c r="B31" s="17" t="s">
        <v>79</v>
      </c>
      <c r="C31" s="17">
        <v>2.84</v>
      </c>
      <c r="D31" s="17">
        <v>-0.53550966207052098</v>
      </c>
      <c r="E31" s="17">
        <v>-15.32451</v>
      </c>
      <c r="F31" s="17">
        <v>-15.498655555094864</v>
      </c>
      <c r="G31" t="str">
        <f t="shared" si="0"/>
        <v>0.5-5</v>
      </c>
      <c r="H31">
        <f t="shared" si="1"/>
        <v>10.452891739055127</v>
      </c>
    </row>
    <row r="32" spans="1:8" x14ac:dyDescent="0.3">
      <c r="A32" s="20" t="s">
        <v>80</v>
      </c>
      <c r="B32" s="16" t="s">
        <v>81</v>
      </c>
      <c r="C32" s="16">
        <v>0.99973599999999996</v>
      </c>
      <c r="D32" s="16">
        <v>-7.7113846753832978E-3</v>
      </c>
      <c r="E32" s="16">
        <v>-8.5400000000000007E-3</v>
      </c>
      <c r="F32" s="16">
        <v>8.6002119353038777E-3</v>
      </c>
      <c r="G32" t="str">
        <f t="shared" si="0"/>
        <v>0.5-5</v>
      </c>
      <c r="H32">
        <f t="shared" si="1"/>
        <v>8.2838655368957254E-3</v>
      </c>
    </row>
    <row r="33" spans="1:8" x14ac:dyDescent="0.3">
      <c r="A33" s="21" t="s">
        <v>82</v>
      </c>
      <c r="B33" s="17" t="s">
        <v>83</v>
      </c>
      <c r="C33" s="17">
        <v>7.5084499999999998E-3</v>
      </c>
      <c r="D33" s="17">
        <v>-0.4191197650307209</v>
      </c>
      <c r="E33" s="17">
        <v>7.5850000000000001E-2</v>
      </c>
      <c r="F33" s="17">
        <v>-0.15384555735126018</v>
      </c>
      <c r="G33" t="str">
        <f t="shared" si="0"/>
        <v>0-0.05</v>
      </c>
      <c r="H33">
        <f t="shared" si="1"/>
        <v>0.21627177412732701</v>
      </c>
    </row>
    <row r="34" spans="1:8" x14ac:dyDescent="0.3">
      <c r="A34" s="20" t="s">
        <v>84</v>
      </c>
      <c r="B34" s="16" t="s">
        <v>85</v>
      </c>
      <c r="C34" s="16">
        <v>5.8000000000000004E-6</v>
      </c>
      <c r="D34" s="16">
        <v>-0.35139883319247217</v>
      </c>
      <c r="E34" s="16">
        <v>1.0641099999999999</v>
      </c>
      <c r="F34" s="16">
        <v>-7.7832922731106606</v>
      </c>
      <c r="G34" t="str">
        <f t="shared" si="0"/>
        <v>0-0.05</v>
      </c>
      <c r="H34">
        <f t="shared" si="1"/>
        <v>3.0662670354343775</v>
      </c>
    </row>
    <row r="35" spans="1:8" x14ac:dyDescent="0.3">
      <c r="A35" s="21" t="s">
        <v>86</v>
      </c>
      <c r="B35" s="17" t="s">
        <v>87</v>
      </c>
      <c r="C35" s="17">
        <v>6.9209000000000007E-2</v>
      </c>
      <c r="D35" s="17">
        <v>-0.44028155194728957</v>
      </c>
      <c r="E35" s="17">
        <v>0.63295999999999997</v>
      </c>
      <c r="F35" s="17">
        <v>-6.6222142406727675</v>
      </c>
      <c r="G35" t="str">
        <f t="shared" si="0"/>
        <v>0.05-0.5</v>
      </c>
      <c r="H35">
        <f t="shared" si="1"/>
        <v>2.5651519308733524</v>
      </c>
    </row>
    <row r="36" spans="1:8" x14ac:dyDescent="0.3">
      <c r="A36" s="20" t="s">
        <v>88</v>
      </c>
      <c r="B36" s="16" t="s">
        <v>89</v>
      </c>
      <c r="C36" s="16">
        <v>1.1200000000000001</v>
      </c>
      <c r="D36" s="16"/>
      <c r="E36" s="16"/>
      <c r="F36" s="16">
        <v>0.13357663397083344</v>
      </c>
      <c r="G36" t="str">
        <f t="shared" si="0"/>
        <v>0.5-5</v>
      </c>
      <c r="H36">
        <f t="shared" si="1"/>
        <v>4.4525544656944478E-2</v>
      </c>
    </row>
    <row r="37" spans="1:8" x14ac:dyDescent="0.3">
      <c r="A37" s="21" t="s">
        <v>90</v>
      </c>
      <c r="B37" s="17" t="s">
        <v>91</v>
      </c>
      <c r="C37" s="17">
        <v>283.02</v>
      </c>
      <c r="D37" s="17">
        <v>-1.781568348964804</v>
      </c>
      <c r="E37" s="17">
        <v>7.9411100000000001</v>
      </c>
      <c r="F37" s="17">
        <v>-4.4596294501491007</v>
      </c>
      <c r="G37" t="str">
        <f t="shared" si="0"/>
        <v>&gt;50</v>
      </c>
      <c r="H37">
        <f t="shared" si="1"/>
        <v>4.7274359330379676</v>
      </c>
    </row>
    <row r="38" spans="1:8" x14ac:dyDescent="0.3">
      <c r="A38" s="20" t="s">
        <v>92</v>
      </c>
      <c r="B38" s="16" t="s">
        <v>93</v>
      </c>
      <c r="C38" s="16">
        <v>4522.5200000000004</v>
      </c>
      <c r="D38" s="16">
        <v>1.202015389017762E-2</v>
      </c>
      <c r="E38" s="16">
        <v>0.92886000000000002</v>
      </c>
      <c r="F38" s="16">
        <v>-3.4818058999431787</v>
      </c>
      <c r="G38" t="str">
        <f t="shared" si="0"/>
        <v>&gt;50</v>
      </c>
      <c r="H38">
        <f t="shared" si="1"/>
        <v>1.4742286846111188</v>
      </c>
    </row>
    <row r="39" spans="1:8" x14ac:dyDescent="0.3">
      <c r="A39" s="21" t="s">
        <v>94</v>
      </c>
      <c r="B39" s="17" t="s">
        <v>95</v>
      </c>
      <c r="C39" s="17">
        <v>0.99975899999999995</v>
      </c>
      <c r="D39" s="17">
        <v>4.8599483188784334E-4</v>
      </c>
      <c r="E39" s="17">
        <v>3.0599999999999998E-3</v>
      </c>
      <c r="F39" s="17">
        <v>1.8589930632178946E-2</v>
      </c>
      <c r="G39" t="str">
        <f t="shared" si="0"/>
        <v>0.5-5</v>
      </c>
      <c r="H39">
        <f t="shared" si="1"/>
        <v>7.3786418213555964E-3</v>
      </c>
    </row>
    <row r="40" spans="1:8" x14ac:dyDescent="0.3">
      <c r="A40" s="20" t="s">
        <v>96</v>
      </c>
      <c r="B40" s="16" t="s">
        <v>97</v>
      </c>
      <c r="C40" s="16">
        <v>1</v>
      </c>
      <c r="D40" s="16">
        <v>0</v>
      </c>
      <c r="E40" s="16">
        <v>0</v>
      </c>
      <c r="F40" s="16">
        <v>0</v>
      </c>
      <c r="G40" t="str">
        <f t="shared" si="0"/>
        <v>0.5-5</v>
      </c>
      <c r="H40">
        <f t="shared" si="1"/>
        <v>0</v>
      </c>
    </row>
    <row r="41" spans="1:8" x14ac:dyDescent="0.3">
      <c r="A41" s="21" t="s">
        <v>98</v>
      </c>
      <c r="B41" s="17" t="s">
        <v>99</v>
      </c>
      <c r="C41" s="17">
        <v>3.62</v>
      </c>
      <c r="D41" s="17">
        <v>-0.99050516050255055</v>
      </c>
      <c r="E41" s="17">
        <v>-0.41322999999999999</v>
      </c>
      <c r="F41" s="17">
        <v>0.58632792341699735</v>
      </c>
      <c r="G41" t="str">
        <f t="shared" si="0"/>
        <v>0.5-5</v>
      </c>
      <c r="H41">
        <f t="shared" si="1"/>
        <v>0.66335436130651593</v>
      </c>
    </row>
    <row r="42" spans="1:8" x14ac:dyDescent="0.3">
      <c r="A42" s="20" t="s">
        <v>100</v>
      </c>
      <c r="B42" s="16" t="s">
        <v>101</v>
      </c>
      <c r="C42" s="16">
        <v>1.75</v>
      </c>
      <c r="D42" s="16">
        <v>-0.11812262464886564</v>
      </c>
      <c r="E42" s="16">
        <v>6.3548799999999996</v>
      </c>
      <c r="F42" s="16">
        <v>10.639836616397185</v>
      </c>
      <c r="G42" t="str">
        <f t="shared" si="0"/>
        <v>0.5-5</v>
      </c>
      <c r="H42">
        <f t="shared" si="1"/>
        <v>5.7042797470153497</v>
      </c>
    </row>
    <row r="43" spans="1:8" x14ac:dyDescent="0.3">
      <c r="A43" s="21" t="s">
        <v>102</v>
      </c>
      <c r="B43" s="17" t="s">
        <v>103</v>
      </c>
      <c r="C43" s="17">
        <v>0.68358699999999994</v>
      </c>
      <c r="D43" s="17">
        <v>-0.34267195050204619</v>
      </c>
      <c r="E43" s="17">
        <v>9.2082300000000004</v>
      </c>
      <c r="F43" s="17">
        <v>1.0438859455008442</v>
      </c>
      <c r="G43" t="str">
        <f t="shared" si="0"/>
        <v>0.5-5</v>
      </c>
      <c r="H43">
        <f t="shared" si="1"/>
        <v>3.5315959653342972</v>
      </c>
    </row>
    <row r="44" spans="1:8" x14ac:dyDescent="0.3">
      <c r="A44" s="20" t="s">
        <v>104</v>
      </c>
      <c r="B44" s="16" t="s">
        <v>105</v>
      </c>
      <c r="C44" s="16">
        <v>1.1299999999999999</v>
      </c>
      <c r="D44" s="16">
        <v>0.42795131373949907</v>
      </c>
      <c r="E44" s="16">
        <v>-0.23561000000000001</v>
      </c>
      <c r="F44" s="16">
        <v>2.8911816051841989E-2</v>
      </c>
      <c r="G44" t="str">
        <f t="shared" si="0"/>
        <v>0.5-5</v>
      </c>
      <c r="H44">
        <f t="shared" si="1"/>
        <v>0.23082437659711372</v>
      </c>
    </row>
    <row r="45" spans="1:8" x14ac:dyDescent="0.3">
      <c r="A45" s="21" t="s">
        <v>106</v>
      </c>
      <c r="B45" s="17" t="s">
        <v>107</v>
      </c>
      <c r="C45" s="17">
        <v>1.27</v>
      </c>
      <c r="D45" s="17">
        <v>-0.54818035898782391</v>
      </c>
      <c r="E45" s="17">
        <v>2.3259799999999999</v>
      </c>
      <c r="F45" s="17">
        <v>-4.5023257036709508</v>
      </c>
      <c r="G45" t="str">
        <f t="shared" si="0"/>
        <v>0.5-5</v>
      </c>
      <c r="H45">
        <f t="shared" si="1"/>
        <v>2.4588286875529248</v>
      </c>
    </row>
    <row r="46" spans="1:8" x14ac:dyDescent="0.3">
      <c r="A46" s="20" t="s">
        <v>108</v>
      </c>
      <c r="B46" s="16" t="s">
        <v>109</v>
      </c>
      <c r="C46" s="16">
        <v>4524.24</v>
      </c>
      <c r="D46" s="16">
        <v>3.1792901976748576E-2</v>
      </c>
      <c r="E46" s="16">
        <v>0.93718000000000001</v>
      </c>
      <c r="F46" s="16">
        <v>-3.4895275090278206</v>
      </c>
      <c r="G46" t="str">
        <f t="shared" si="0"/>
        <v>&gt;50</v>
      </c>
      <c r="H46">
        <f t="shared" si="1"/>
        <v>1.4861668036681897</v>
      </c>
    </row>
    <row r="47" spans="1:8" x14ac:dyDescent="0.3">
      <c r="A47" s="21" t="s">
        <v>110</v>
      </c>
      <c r="B47" s="17" t="s">
        <v>111</v>
      </c>
      <c r="C47" s="17">
        <v>0.40456700000000001</v>
      </c>
      <c r="D47" s="17">
        <v>-0.85457540649667207</v>
      </c>
      <c r="E47" s="17">
        <v>7.5934699999999999</v>
      </c>
      <c r="F47" s="17">
        <v>5.4569317177622905</v>
      </c>
      <c r="G47" t="str">
        <f t="shared" si="0"/>
        <v>0.05-0.5</v>
      </c>
      <c r="H47">
        <f t="shared" si="1"/>
        <v>4.6349923747529873</v>
      </c>
    </row>
    <row r="48" spans="1:8" x14ac:dyDescent="0.3">
      <c r="A48" s="20" t="s">
        <v>112</v>
      </c>
      <c r="B48" s="16" t="s">
        <v>113</v>
      </c>
      <c r="C48" s="16">
        <v>6.1742999999999999E-2</v>
      </c>
      <c r="D48" s="16">
        <v>8.5060875340040809E-2</v>
      </c>
      <c r="E48" s="16">
        <v>0.26554</v>
      </c>
      <c r="F48" s="16">
        <v>-9.2719290133201966</v>
      </c>
      <c r="G48" t="str">
        <f t="shared" si="0"/>
        <v>0.05-0.5</v>
      </c>
      <c r="H48">
        <f t="shared" si="1"/>
        <v>3.2075099628867458</v>
      </c>
    </row>
    <row r="49" spans="1:8" x14ac:dyDescent="0.3">
      <c r="A49" s="21" t="s">
        <v>114</v>
      </c>
      <c r="B49" s="17" t="s">
        <v>115</v>
      </c>
      <c r="C49" s="17">
        <v>0.71816000000000002</v>
      </c>
      <c r="D49" s="17">
        <v>4.2732958440488078</v>
      </c>
      <c r="E49" s="17">
        <v>8.3919800000000002</v>
      </c>
      <c r="F49" s="17">
        <v>6.301876591393631</v>
      </c>
      <c r="G49" t="str">
        <f t="shared" si="0"/>
        <v>0.5-5</v>
      </c>
      <c r="H49">
        <f t="shared" si="1"/>
        <v>6.3223841451474785</v>
      </c>
    </row>
    <row r="50" spans="1:8" x14ac:dyDescent="0.3">
      <c r="A50" s="20" t="s">
        <v>116</v>
      </c>
      <c r="B50" s="16" t="s">
        <v>117</v>
      </c>
      <c r="C50" s="16">
        <v>2.0099999999999998E-6</v>
      </c>
      <c r="D50" s="16">
        <v>7.4229103767335616E-2</v>
      </c>
      <c r="E50" s="16">
        <v>2.0961599999999998</v>
      </c>
      <c r="F50" s="16">
        <v>2.7640844695456144</v>
      </c>
      <c r="G50" t="str">
        <f t="shared" si="0"/>
        <v>0-0.05</v>
      </c>
      <c r="H50">
        <f t="shared" si="1"/>
        <v>1.6448245244376498</v>
      </c>
    </row>
    <row r="51" spans="1:8" x14ac:dyDescent="0.3">
      <c r="A51" s="21" t="s">
        <v>118</v>
      </c>
      <c r="B51" s="17" t="s">
        <v>119</v>
      </c>
      <c r="C51" s="17">
        <v>0.99793699999999996</v>
      </c>
      <c r="D51" s="17">
        <v>5.862603634798183E-2</v>
      </c>
      <c r="E51" s="17">
        <v>2.0209999999999999E-2</v>
      </c>
      <c r="F51" s="17">
        <v>2.060919059783636E-2</v>
      </c>
      <c r="G51" t="str">
        <f t="shared" si="0"/>
        <v>0.5-5</v>
      </c>
      <c r="H51">
        <f t="shared" si="1"/>
        <v>3.3148408981939402E-2</v>
      </c>
    </row>
    <row r="52" spans="1:8" x14ac:dyDescent="0.3">
      <c r="A52" s="20" t="s">
        <v>120</v>
      </c>
      <c r="B52" s="16" t="s">
        <v>121</v>
      </c>
      <c r="C52" s="16">
        <v>0.99985500000000005</v>
      </c>
      <c r="D52" s="16">
        <v>-5.4478521218610477E-3</v>
      </c>
      <c r="E52" s="16">
        <v>-7.5199999999999998E-3</v>
      </c>
      <c r="F52" s="16">
        <v>4.5662620184120875E-4</v>
      </c>
      <c r="G52" t="str">
        <f t="shared" si="0"/>
        <v>0.5-5</v>
      </c>
      <c r="H52">
        <f t="shared" si="1"/>
        <v>4.474826107900752E-3</v>
      </c>
    </row>
    <row r="53" spans="1:8" x14ac:dyDescent="0.3">
      <c r="A53" s="21" t="s">
        <v>122</v>
      </c>
      <c r="B53" s="17" t="s">
        <v>123</v>
      </c>
      <c r="C53" s="17">
        <v>80.91</v>
      </c>
      <c r="D53" s="17">
        <v>-0.23627204871313084</v>
      </c>
      <c r="E53" s="17">
        <v>0.38945999999999997</v>
      </c>
      <c r="F53" s="17">
        <v>-4.35506655847899</v>
      </c>
      <c r="G53" t="str">
        <f t="shared" si="0"/>
        <v>&gt;50</v>
      </c>
      <c r="H53">
        <f t="shared" si="1"/>
        <v>1.6602662023973735</v>
      </c>
    </row>
    <row r="54" spans="1:8" x14ac:dyDescent="0.3">
      <c r="A54" s="20" t="s">
        <v>124</v>
      </c>
      <c r="B54" s="16" t="s">
        <v>125</v>
      </c>
      <c r="C54" s="16">
        <v>7.0705000000000004E-2</v>
      </c>
      <c r="D54" s="16">
        <v>1.142832523301753E-2</v>
      </c>
      <c r="E54" s="16">
        <v>2.4282400000000002</v>
      </c>
      <c r="F54" s="16">
        <v>-2.7877835679384351</v>
      </c>
      <c r="G54" t="str">
        <f t="shared" si="0"/>
        <v>0.05-0.5</v>
      </c>
      <c r="H54">
        <f t="shared" si="1"/>
        <v>1.7424839643904841</v>
      </c>
    </row>
    <row r="55" spans="1:8" x14ac:dyDescent="0.3">
      <c r="A55" s="21" t="s">
        <v>126</v>
      </c>
      <c r="B55" s="17" t="s">
        <v>127</v>
      </c>
      <c r="C55" s="17">
        <v>0.152616</v>
      </c>
      <c r="D55" s="17">
        <v>-0.3945121998644997</v>
      </c>
      <c r="E55" s="17">
        <v>1.3580399999999999</v>
      </c>
      <c r="F55" s="17">
        <v>-10.239751688685232</v>
      </c>
      <c r="G55" t="str">
        <f t="shared" si="0"/>
        <v>0.05-0.5</v>
      </c>
      <c r="H55">
        <f t="shared" si="1"/>
        <v>3.9974346295165772</v>
      </c>
    </row>
    <row r="56" spans="1:8" x14ac:dyDescent="0.3">
      <c r="A56" s="20" t="s">
        <v>128</v>
      </c>
      <c r="B56" s="16" t="s">
        <v>129</v>
      </c>
      <c r="C56" s="16">
        <v>3.7500000000000001E-6</v>
      </c>
      <c r="D56" s="16">
        <v>-0.64820364747108716</v>
      </c>
      <c r="E56" s="16">
        <v>1.82717</v>
      </c>
      <c r="F56" s="16">
        <v>-7.1632180720147183</v>
      </c>
      <c r="G56" t="str">
        <f t="shared" si="0"/>
        <v>0-0.05</v>
      </c>
      <c r="H56">
        <f t="shared" si="1"/>
        <v>3.2128639064952687</v>
      </c>
    </row>
    <row r="57" spans="1:8" x14ac:dyDescent="0.3">
      <c r="A57" s="21" t="s">
        <v>130</v>
      </c>
      <c r="B57" s="17" t="s">
        <v>131</v>
      </c>
      <c r="C57" s="17">
        <v>0.99919599999999997</v>
      </c>
      <c r="D57" s="17">
        <v>-2.0785640772402279E-2</v>
      </c>
      <c r="E57" s="17">
        <v>-6.7400000000000003E-3</v>
      </c>
      <c r="F57" s="17">
        <v>-3.5988291909135536E-2</v>
      </c>
      <c r="G57" t="str">
        <f t="shared" si="0"/>
        <v>0.5-5</v>
      </c>
      <c r="H57">
        <f t="shared" si="1"/>
        <v>2.117131089384594E-2</v>
      </c>
    </row>
    <row r="58" spans="1:8" x14ac:dyDescent="0.3">
      <c r="A58" s="20" t="s">
        <v>132</v>
      </c>
      <c r="B58" s="16" t="s">
        <v>133</v>
      </c>
      <c r="C58" s="16">
        <v>2.5499999999999998</v>
      </c>
      <c r="D58" s="16">
        <v>-0.67768520265549548</v>
      </c>
      <c r="E58" s="16">
        <v>1.3657600000000001</v>
      </c>
      <c r="F58" s="16">
        <v>-14.346871097471393</v>
      </c>
      <c r="G58" t="str">
        <f t="shared" si="0"/>
        <v>0.5-5</v>
      </c>
      <c r="H58">
        <f t="shared" si="1"/>
        <v>5.4634387667089621</v>
      </c>
    </row>
    <row r="59" spans="1:8" x14ac:dyDescent="0.3">
      <c r="A59" s="21" t="s">
        <v>136</v>
      </c>
      <c r="B59" s="17" t="s">
        <v>137</v>
      </c>
      <c r="C59" s="17">
        <v>2.0099999999999998</v>
      </c>
      <c r="D59" s="17">
        <v>-0.15940971873374071</v>
      </c>
      <c r="E59" s="17">
        <v>0.28819</v>
      </c>
      <c r="F59" s="17">
        <v>-3.8710864471212432</v>
      </c>
      <c r="G59" t="str">
        <f t="shared" si="0"/>
        <v>0.5-5</v>
      </c>
      <c r="H59">
        <f t="shared" si="1"/>
        <v>1.4395620552849946</v>
      </c>
    </row>
    <row r="60" spans="1:8" x14ac:dyDescent="0.3">
      <c r="A60" s="20" t="s">
        <v>134</v>
      </c>
      <c r="B60" s="16" t="s">
        <v>135</v>
      </c>
      <c r="C60" s="16">
        <v>8.98</v>
      </c>
      <c r="D60" s="16">
        <v>-0.56416051559823477</v>
      </c>
      <c r="E60" s="16">
        <v>-0.78042999999999996</v>
      </c>
      <c r="F60" s="16">
        <v>-2.8260044865838125</v>
      </c>
      <c r="G60" t="str">
        <f t="shared" si="0"/>
        <v>5-50</v>
      </c>
      <c r="H60">
        <f t="shared" si="1"/>
        <v>1.3901983340606823</v>
      </c>
    </row>
    <row r="61" spans="1:8" x14ac:dyDescent="0.3">
      <c r="A61" s="21" t="s">
        <v>138</v>
      </c>
      <c r="B61" s="17" t="s">
        <v>139</v>
      </c>
      <c r="C61" s="17">
        <v>88.75</v>
      </c>
      <c r="D61" s="17">
        <v>-0.72788565888266055</v>
      </c>
      <c r="E61" s="17">
        <v>1.1672199999999999</v>
      </c>
      <c r="F61" s="17">
        <v>-8.2018127262532694</v>
      </c>
      <c r="G61" t="str">
        <f t="shared" si="0"/>
        <v>&gt;50</v>
      </c>
      <c r="H61">
        <f t="shared" si="1"/>
        <v>3.3656394617119765</v>
      </c>
    </row>
    <row r="62" spans="1:8" x14ac:dyDescent="0.3">
      <c r="A62" s="20" t="s">
        <v>140</v>
      </c>
      <c r="B62" s="16" t="s">
        <v>141</v>
      </c>
      <c r="C62" s="16">
        <v>0.99830099999999999</v>
      </c>
      <c r="D62" s="16">
        <v>-1.0009879803440602E-2</v>
      </c>
      <c r="E62" s="16">
        <v>-0.02</v>
      </c>
      <c r="F62" s="16">
        <v>-7.9980589497204088E-2</v>
      </c>
      <c r="G62" t="str">
        <f t="shared" si="0"/>
        <v>0.5-5</v>
      </c>
      <c r="H62">
        <f t="shared" si="1"/>
        <v>3.6663489766881559E-2</v>
      </c>
    </row>
    <row r="63" spans="1:8" x14ac:dyDescent="0.3">
      <c r="A63" s="21" t="s">
        <v>142</v>
      </c>
      <c r="B63" s="17" t="s">
        <v>143</v>
      </c>
      <c r="C63" s="17">
        <v>1.9</v>
      </c>
      <c r="D63" s="17">
        <v>-6.9964460628921921E-2</v>
      </c>
      <c r="E63" s="17">
        <v>5.7377799999999999</v>
      </c>
      <c r="F63" s="17">
        <v>-3.5161602546571928</v>
      </c>
      <c r="G63" t="str">
        <f t="shared" si="0"/>
        <v>0.5-5</v>
      </c>
      <c r="H63">
        <f t="shared" si="1"/>
        <v>3.1079682384287053</v>
      </c>
    </row>
    <row r="64" spans="1:8" x14ac:dyDescent="0.3">
      <c r="A64" s="20" t="s">
        <v>144</v>
      </c>
      <c r="B64" s="16" t="s">
        <v>145</v>
      </c>
      <c r="C64" s="16">
        <v>0.99926000000000004</v>
      </c>
      <c r="D64" s="16">
        <v>7.3147164101177733E-4</v>
      </c>
      <c r="E64" s="16">
        <v>1.034E-2</v>
      </c>
      <c r="F64" s="16">
        <v>-8.9254343215381827E-3</v>
      </c>
      <c r="G64" t="str">
        <f t="shared" si="0"/>
        <v>0.5-5</v>
      </c>
      <c r="H64">
        <f t="shared" si="1"/>
        <v>6.665635320849986E-3</v>
      </c>
    </row>
    <row r="65" spans="1:8" x14ac:dyDescent="0.3">
      <c r="A65" s="21" t="s">
        <v>146</v>
      </c>
      <c r="B65" s="17" t="s">
        <v>147</v>
      </c>
      <c r="C65" s="17">
        <v>8</v>
      </c>
      <c r="D65" s="17">
        <v>0.20980787852562544</v>
      </c>
      <c r="E65" s="17">
        <v>0.64693000000000001</v>
      </c>
      <c r="F65" s="17">
        <v>-4.0416454085957367</v>
      </c>
      <c r="G65" t="str">
        <f t="shared" si="0"/>
        <v>5-50</v>
      </c>
      <c r="H65">
        <f t="shared" si="1"/>
        <v>1.6327944290404541</v>
      </c>
    </row>
    <row r="66" spans="1:8" x14ac:dyDescent="0.3">
      <c r="A66" s="20" t="s">
        <v>148</v>
      </c>
      <c r="B66" s="16" t="s">
        <v>149</v>
      </c>
      <c r="C66" s="16">
        <v>73.64</v>
      </c>
      <c r="D66" s="16">
        <v>-9.0844698906063295E-2</v>
      </c>
      <c r="E66" s="16">
        <v>1.5471900000000001</v>
      </c>
      <c r="F66" s="16">
        <v>-4.6706862453354789</v>
      </c>
      <c r="G66" t="str">
        <f t="shared" si="0"/>
        <v>&gt;50</v>
      </c>
      <c r="H66">
        <f t="shared" si="1"/>
        <v>2.1029069814138475</v>
      </c>
    </row>
    <row r="67" spans="1:8" x14ac:dyDescent="0.3">
      <c r="A67" s="21" t="s">
        <v>152</v>
      </c>
      <c r="B67" s="17" t="s">
        <v>153</v>
      </c>
      <c r="C67" s="17">
        <v>1.22</v>
      </c>
      <c r="D67" s="17">
        <v>5.9546031291903272E-2</v>
      </c>
      <c r="E67" s="17">
        <v>0.35172999999999999</v>
      </c>
      <c r="F67" s="17">
        <v>-0.64773590649508916</v>
      </c>
      <c r="G67" t="str">
        <f t="shared" ref="G67:G130" si="2">IF(C67&lt;=0.05,"0-0.05",
IF(C67&lt;=0.5,"0.05-0.5",
IF(C67&lt;=5,"0.5-5",
IF(C67&lt;=50,"5-50","&gt;50"))))</f>
        <v>0.5-5</v>
      </c>
      <c r="H67">
        <f t="shared" ref="H67:H130" si="3">AVERAGE(ABS(D67),ABS(E67),ABS(F67))</f>
        <v>0.35300397926233079</v>
      </c>
    </row>
    <row r="68" spans="1:8" x14ac:dyDescent="0.3">
      <c r="A68" s="20" t="s">
        <v>150</v>
      </c>
      <c r="B68" s="16" t="s">
        <v>151</v>
      </c>
      <c r="C68" s="16">
        <v>2.06</v>
      </c>
      <c r="D68" s="16">
        <v>-0.36321184248508648</v>
      </c>
      <c r="E68" s="16">
        <v>2.6810700000000001</v>
      </c>
      <c r="F68" s="16">
        <v>2.7892255445955718</v>
      </c>
      <c r="G68" t="str">
        <f t="shared" si="2"/>
        <v>0.5-5</v>
      </c>
      <c r="H68">
        <f t="shared" si="3"/>
        <v>1.9445024623602194</v>
      </c>
    </row>
    <row r="69" spans="1:8" x14ac:dyDescent="0.3">
      <c r="A69" s="21" t="s">
        <v>154</v>
      </c>
      <c r="B69" s="17" t="s">
        <v>155</v>
      </c>
      <c r="C69" s="17">
        <v>0.115578</v>
      </c>
      <c r="D69" s="17">
        <v>3.4521222066742678E-2</v>
      </c>
      <c r="E69" s="17">
        <v>1.29657</v>
      </c>
      <c r="F69" s="17">
        <v>-1.1306691103516555</v>
      </c>
      <c r="G69" t="str">
        <f t="shared" si="2"/>
        <v>0.05-0.5</v>
      </c>
      <c r="H69">
        <f t="shared" si="3"/>
        <v>0.8205867774727994</v>
      </c>
    </row>
    <row r="70" spans="1:8" x14ac:dyDescent="0.3">
      <c r="A70" s="20" t="s">
        <v>156</v>
      </c>
      <c r="B70" s="16" t="s">
        <v>157</v>
      </c>
      <c r="C70" s="16">
        <v>1</v>
      </c>
      <c r="D70" s="16">
        <v>3.6520957212520331E-3</v>
      </c>
      <c r="E70" s="16">
        <v>2.7009999999999999E-2</v>
      </c>
      <c r="F70" s="16">
        <v>2.9818843530029011E-2</v>
      </c>
      <c r="G70" t="str">
        <f t="shared" si="2"/>
        <v>0.5-5</v>
      </c>
      <c r="H70">
        <f t="shared" si="3"/>
        <v>2.0160313083760349E-2</v>
      </c>
    </row>
    <row r="71" spans="1:8" x14ac:dyDescent="0.3">
      <c r="A71" s="21" t="s">
        <v>158</v>
      </c>
      <c r="B71" s="17" t="s">
        <v>159</v>
      </c>
      <c r="C71" s="17">
        <v>1.93</v>
      </c>
      <c r="D71" s="17">
        <v>-1.536708769952134</v>
      </c>
      <c r="E71" s="17">
        <v>3.1774300000000002</v>
      </c>
      <c r="F71" s="17">
        <v>3.2769830750706395</v>
      </c>
      <c r="G71" t="str">
        <f t="shared" si="2"/>
        <v>0.5-5</v>
      </c>
      <c r="H71">
        <f t="shared" si="3"/>
        <v>2.6637072816742577</v>
      </c>
    </row>
    <row r="72" spans="1:8" x14ac:dyDescent="0.3">
      <c r="A72" s="20" t="s">
        <v>160</v>
      </c>
      <c r="B72" s="16" t="s">
        <v>161</v>
      </c>
      <c r="C72" s="16">
        <v>1.1000000000000001</v>
      </c>
      <c r="D72" s="16">
        <v>0</v>
      </c>
      <c r="E72" s="16">
        <v>1.123E-2</v>
      </c>
      <c r="F72" s="16">
        <v>8.1673351916064146E-2</v>
      </c>
      <c r="G72" t="str">
        <f t="shared" si="2"/>
        <v>0.5-5</v>
      </c>
      <c r="H72">
        <f t="shared" si="3"/>
        <v>3.0967783972021382E-2</v>
      </c>
    </row>
    <row r="73" spans="1:8" x14ac:dyDescent="0.3">
      <c r="A73" s="21" t="s">
        <v>162</v>
      </c>
      <c r="B73" s="17" t="s">
        <v>163</v>
      </c>
      <c r="C73" s="17">
        <v>11.09</v>
      </c>
      <c r="D73" s="17">
        <v>0</v>
      </c>
      <c r="E73" s="17">
        <v>9.6200000000000001E-3</v>
      </c>
      <c r="F73" s="17">
        <v>6.6244584572892867E-2</v>
      </c>
      <c r="G73" t="str">
        <f t="shared" si="2"/>
        <v>5-50</v>
      </c>
      <c r="H73">
        <f t="shared" si="3"/>
        <v>2.5288194857630956E-2</v>
      </c>
    </row>
    <row r="74" spans="1:8" x14ac:dyDescent="0.3">
      <c r="A74" s="20" t="s">
        <v>164</v>
      </c>
      <c r="B74" s="16" t="s">
        <v>165</v>
      </c>
      <c r="C74" s="16">
        <v>9.1508000000000006E-2</v>
      </c>
      <c r="D74" s="16">
        <v>3.8823601440828505E-2</v>
      </c>
      <c r="E74" s="16">
        <v>1.5019</v>
      </c>
      <c r="F74" s="16">
        <v>-3.0048907592840153</v>
      </c>
      <c r="G74" t="str">
        <f t="shared" si="2"/>
        <v>0.05-0.5</v>
      </c>
      <c r="H74">
        <f t="shared" si="3"/>
        <v>1.5152047869082814</v>
      </c>
    </row>
    <row r="75" spans="1:8" x14ac:dyDescent="0.3">
      <c r="A75" s="21" t="s">
        <v>168</v>
      </c>
      <c r="B75" s="17" t="s">
        <v>169</v>
      </c>
      <c r="C75" s="17">
        <v>105.74</v>
      </c>
      <c r="D75" s="17">
        <v>0</v>
      </c>
      <c r="E75" s="17">
        <v>0</v>
      </c>
      <c r="F75" s="17">
        <v>-0.12279210352319792</v>
      </c>
      <c r="G75" t="str">
        <f t="shared" si="2"/>
        <v>&gt;50</v>
      </c>
      <c r="H75">
        <f t="shared" si="3"/>
        <v>4.0930701174399307E-2</v>
      </c>
    </row>
    <row r="76" spans="1:8" x14ac:dyDescent="0.3">
      <c r="A76" s="20" t="s">
        <v>166</v>
      </c>
      <c r="B76" s="16" t="s">
        <v>167</v>
      </c>
      <c r="C76" s="16">
        <v>0.10625999999999999</v>
      </c>
      <c r="D76" s="16">
        <v>-0.92173924283602915</v>
      </c>
      <c r="E76" s="16">
        <v>0.46399000000000001</v>
      </c>
      <c r="F76" s="16">
        <v>-8.896123708383346</v>
      </c>
      <c r="G76" t="str">
        <f t="shared" si="2"/>
        <v>0.05-0.5</v>
      </c>
      <c r="H76">
        <f t="shared" si="3"/>
        <v>3.4272843170731249</v>
      </c>
    </row>
    <row r="77" spans="1:8" x14ac:dyDescent="0.3">
      <c r="A77" s="21" t="s">
        <v>170</v>
      </c>
      <c r="B77" s="17" t="s">
        <v>171</v>
      </c>
      <c r="C77" s="17">
        <v>3.4611650000000001E-2</v>
      </c>
      <c r="D77" s="17">
        <v>-1.2834753987679129E-2</v>
      </c>
      <c r="E77" s="17">
        <v>1.4296800000000001</v>
      </c>
      <c r="F77" s="17">
        <v>-6.3114970334573002</v>
      </c>
      <c r="G77" t="str">
        <f t="shared" si="2"/>
        <v>0-0.05</v>
      </c>
      <c r="H77">
        <f t="shared" si="3"/>
        <v>2.5846705958149934</v>
      </c>
    </row>
    <row r="78" spans="1:8" x14ac:dyDescent="0.3">
      <c r="A78" s="20" t="s">
        <v>172</v>
      </c>
      <c r="B78" s="16" t="s">
        <v>173</v>
      </c>
      <c r="C78" s="16">
        <v>0.26061099999999998</v>
      </c>
      <c r="D78" s="16">
        <v>-1.3984860526017806</v>
      </c>
      <c r="E78" s="16">
        <v>8.4536599999999993</v>
      </c>
      <c r="F78" s="16">
        <v>1.293213257277972</v>
      </c>
      <c r="G78" t="str">
        <f t="shared" si="2"/>
        <v>0.05-0.5</v>
      </c>
      <c r="H78">
        <f t="shared" si="3"/>
        <v>3.7151197699599172</v>
      </c>
    </row>
    <row r="79" spans="1:8" x14ac:dyDescent="0.3">
      <c r="A79" s="21" t="s">
        <v>174</v>
      </c>
      <c r="B79" s="17" t="s">
        <v>175</v>
      </c>
      <c r="C79" s="17">
        <v>0.87499899999999997</v>
      </c>
      <c r="D79" s="17">
        <v>-3.8154939888950794E-2</v>
      </c>
      <c r="E79" s="17">
        <v>-1.7375499999999999</v>
      </c>
      <c r="F79" s="17">
        <v>-2.6357846277267436</v>
      </c>
      <c r="G79" t="str">
        <f t="shared" si="2"/>
        <v>0.5-5</v>
      </c>
      <c r="H79">
        <f t="shared" si="3"/>
        <v>1.4704965225385649</v>
      </c>
    </row>
    <row r="80" spans="1:8" x14ac:dyDescent="0.3">
      <c r="A80" s="20" t="s">
        <v>176</v>
      </c>
      <c r="B80" s="16" t="s">
        <v>177</v>
      </c>
      <c r="C80" s="16">
        <v>3.4954939999999997E-2</v>
      </c>
      <c r="D80" s="16">
        <v>0.14167470231893425</v>
      </c>
      <c r="E80" s="16">
        <v>1.4436500000000001</v>
      </c>
      <c r="F80" s="16">
        <v>-11.232735821622622</v>
      </c>
      <c r="G80" t="str">
        <f t="shared" si="2"/>
        <v>0-0.05</v>
      </c>
      <c r="H80">
        <f t="shared" si="3"/>
        <v>4.2726868413138517</v>
      </c>
    </row>
    <row r="81" spans="1:8" x14ac:dyDescent="0.3">
      <c r="A81" s="21" t="s">
        <v>178</v>
      </c>
      <c r="B81" s="17" t="s">
        <v>179</v>
      </c>
      <c r="C81" s="17">
        <v>9.2516000000000001E-2</v>
      </c>
      <c r="D81" s="17">
        <v>0.27689853311011403</v>
      </c>
      <c r="E81" s="17">
        <v>-0.55352999999999997</v>
      </c>
      <c r="F81" s="17">
        <v>4.4561859262116386</v>
      </c>
      <c r="G81" t="str">
        <f t="shared" si="2"/>
        <v>0.05-0.5</v>
      </c>
      <c r="H81">
        <f t="shared" si="3"/>
        <v>1.7622048197739175</v>
      </c>
    </row>
    <row r="82" spans="1:8" x14ac:dyDescent="0.3">
      <c r="A82" s="20" t="s">
        <v>180</v>
      </c>
      <c r="B82" s="16" t="s">
        <v>181</v>
      </c>
      <c r="C82" s="16">
        <v>0.95929299999999995</v>
      </c>
      <c r="D82" s="16">
        <v>-0.93372226689195204</v>
      </c>
      <c r="E82" s="16">
        <v>1.6013900000000001</v>
      </c>
      <c r="F82" s="16">
        <v>-7.019568455126433</v>
      </c>
      <c r="G82" t="str">
        <f t="shared" si="2"/>
        <v>0.5-5</v>
      </c>
      <c r="H82">
        <f t="shared" si="3"/>
        <v>3.1848935740061286</v>
      </c>
    </row>
    <row r="83" spans="1:8" x14ac:dyDescent="0.3">
      <c r="A83" s="21" t="s">
        <v>182</v>
      </c>
      <c r="B83" s="17" t="s">
        <v>183</v>
      </c>
      <c r="C83" s="17">
        <v>16.89</v>
      </c>
      <c r="D83" s="17">
        <v>-5.6718009400309854E-2</v>
      </c>
      <c r="E83" s="17">
        <v>-2.3229099999999998</v>
      </c>
      <c r="F83" s="17">
        <v>22.03687715400676</v>
      </c>
      <c r="G83" t="str">
        <f t="shared" si="2"/>
        <v>5-50</v>
      </c>
      <c r="H83">
        <f t="shared" si="3"/>
        <v>8.1388350544690233</v>
      </c>
    </row>
    <row r="84" spans="1:8" x14ac:dyDescent="0.3">
      <c r="A84" s="20" t="s">
        <v>184</v>
      </c>
      <c r="B84" s="16" t="s">
        <v>185</v>
      </c>
      <c r="C84" s="16">
        <v>0.98548500000000006</v>
      </c>
      <c r="D84" s="16">
        <v>-0.7649258471107746</v>
      </c>
      <c r="E84" s="16">
        <v>3.1208200000000001</v>
      </c>
      <c r="F84" s="16">
        <v>-5.4094864130691684</v>
      </c>
      <c r="G84" t="str">
        <f t="shared" si="2"/>
        <v>0.5-5</v>
      </c>
      <c r="H84">
        <f t="shared" si="3"/>
        <v>3.0984107533933147</v>
      </c>
    </row>
    <row r="85" spans="1:8" x14ac:dyDescent="0.3">
      <c r="A85" s="21" t="s">
        <v>186</v>
      </c>
      <c r="B85" s="17" t="s">
        <v>187</v>
      </c>
      <c r="C85" s="17">
        <v>7.01</v>
      </c>
      <c r="D85" s="17">
        <v>-0.93137384136615964</v>
      </c>
      <c r="E85" s="17">
        <v>0.16386999999999999</v>
      </c>
      <c r="F85" s="17">
        <v>-3.6393198685997072</v>
      </c>
      <c r="G85" t="str">
        <f t="shared" si="2"/>
        <v>5-50</v>
      </c>
      <c r="H85">
        <f t="shared" si="3"/>
        <v>1.5781879033219557</v>
      </c>
    </row>
    <row r="86" spans="1:8" x14ac:dyDescent="0.3">
      <c r="A86" s="20" t="s">
        <v>188</v>
      </c>
      <c r="B86" s="16" t="s">
        <v>189</v>
      </c>
      <c r="C86" s="16">
        <v>8.4871300000000007E-3</v>
      </c>
      <c r="D86" s="16">
        <v>-0.28081130095493589</v>
      </c>
      <c r="E86" s="16">
        <v>2.0306500000000001</v>
      </c>
      <c r="F86" s="16">
        <v>-2.1574832681693898</v>
      </c>
      <c r="G86" t="str">
        <f t="shared" si="2"/>
        <v>0-0.05</v>
      </c>
      <c r="H86">
        <f t="shared" si="3"/>
        <v>1.4896481897081086</v>
      </c>
    </row>
    <row r="87" spans="1:8" x14ac:dyDescent="0.3">
      <c r="A87" s="21" t="s">
        <v>190</v>
      </c>
      <c r="B87" s="17" t="s">
        <v>191</v>
      </c>
      <c r="C87" s="17">
        <v>3.5748380000000003E-2</v>
      </c>
      <c r="D87" s="17">
        <v>-3.2478520796764006E-2</v>
      </c>
      <c r="E87" s="17">
        <v>0.22980999999999999</v>
      </c>
      <c r="F87" s="17">
        <v>8.2376586786797397</v>
      </c>
      <c r="G87" t="str">
        <f t="shared" si="2"/>
        <v>0-0.05</v>
      </c>
      <c r="H87">
        <f t="shared" si="3"/>
        <v>2.8333157331588343</v>
      </c>
    </row>
    <row r="88" spans="1:8" x14ac:dyDescent="0.3">
      <c r="A88" s="20" t="s">
        <v>192</v>
      </c>
      <c r="B88" s="16" t="s">
        <v>193</v>
      </c>
      <c r="C88" s="16">
        <v>0.21218899999999999</v>
      </c>
      <c r="D88" s="16">
        <v>-1.3785026420975171</v>
      </c>
      <c r="E88" s="16">
        <v>3.4136000000000002</v>
      </c>
      <c r="F88" s="16">
        <v>-4.1658289097265229</v>
      </c>
      <c r="G88" t="str">
        <f t="shared" si="2"/>
        <v>0.05-0.5</v>
      </c>
      <c r="H88">
        <f t="shared" si="3"/>
        <v>2.9859771839413463</v>
      </c>
    </row>
    <row r="89" spans="1:8" x14ac:dyDescent="0.3">
      <c r="A89" s="21" t="s">
        <v>194</v>
      </c>
      <c r="B89" s="17" t="s">
        <v>195</v>
      </c>
      <c r="C89" s="17">
        <v>0.11032599999999999</v>
      </c>
      <c r="D89" s="17">
        <v>-1.1177254384630504</v>
      </c>
      <c r="E89" s="17">
        <v>-2.4925799999999998</v>
      </c>
      <c r="F89" s="17">
        <v>-15.228825902003171</v>
      </c>
      <c r="G89" t="str">
        <f t="shared" si="2"/>
        <v>0.05-0.5</v>
      </c>
      <c r="H89">
        <f t="shared" si="3"/>
        <v>6.2797104468220732</v>
      </c>
    </row>
    <row r="90" spans="1:8" x14ac:dyDescent="0.3">
      <c r="A90" s="20" t="s">
        <v>196</v>
      </c>
      <c r="B90" s="16" t="s">
        <v>197</v>
      </c>
      <c r="C90" s="16">
        <v>1.7726700000000001E-3</v>
      </c>
      <c r="D90" s="16">
        <v>-0.75974920005497459</v>
      </c>
      <c r="E90" s="16">
        <v>3.70689</v>
      </c>
      <c r="F90" s="16">
        <v>-4.2158166934426378</v>
      </c>
      <c r="G90" t="str">
        <f t="shared" si="2"/>
        <v>0-0.05</v>
      </c>
      <c r="H90">
        <f t="shared" si="3"/>
        <v>2.8941519644992035</v>
      </c>
    </row>
    <row r="91" spans="1:8" x14ac:dyDescent="0.3">
      <c r="A91" s="21" t="s">
        <v>198</v>
      </c>
      <c r="B91" s="17" t="s">
        <v>199</v>
      </c>
      <c r="C91" s="17">
        <v>13.39</v>
      </c>
      <c r="D91" s="17">
        <v>-1.4819695960968398</v>
      </c>
      <c r="E91" s="17">
        <v>-4.5962100000000001</v>
      </c>
      <c r="F91" s="17">
        <v>9.1321532709053184</v>
      </c>
      <c r="G91" t="str">
        <f t="shared" si="2"/>
        <v>5-50</v>
      </c>
      <c r="H91">
        <f t="shared" si="3"/>
        <v>5.0701109556673858</v>
      </c>
    </row>
    <row r="92" spans="1:8" x14ac:dyDescent="0.3">
      <c r="A92" s="20" t="s">
        <v>200</v>
      </c>
      <c r="B92" s="16" t="s">
        <v>201</v>
      </c>
      <c r="C92" s="16">
        <v>48.18</v>
      </c>
      <c r="D92" s="16">
        <v>0.37147373851804905</v>
      </c>
      <c r="E92" s="16">
        <v>3.3366099999999999</v>
      </c>
      <c r="F92" s="16">
        <v>9.2307544775422112</v>
      </c>
      <c r="G92" t="str">
        <f t="shared" si="2"/>
        <v>5-50</v>
      </c>
      <c r="H92">
        <f t="shared" si="3"/>
        <v>4.312946072020087</v>
      </c>
    </row>
    <row r="93" spans="1:8" x14ac:dyDescent="0.3">
      <c r="A93" s="21" t="s">
        <v>202</v>
      </c>
      <c r="B93" s="17" t="s">
        <v>203</v>
      </c>
      <c r="C93" s="17">
        <v>7.8797000000000006E-2</v>
      </c>
      <c r="D93" s="17">
        <v>-0.1827800413121955</v>
      </c>
      <c r="E93" s="17">
        <v>-4.3470000000000002E-2</v>
      </c>
      <c r="F93" s="17">
        <v>-0.14256689116433208</v>
      </c>
      <c r="G93" t="str">
        <f t="shared" si="2"/>
        <v>0.05-0.5</v>
      </c>
      <c r="H93">
        <f t="shared" si="3"/>
        <v>0.12293897749217586</v>
      </c>
    </row>
    <row r="94" spans="1:8" x14ac:dyDescent="0.3">
      <c r="A94" s="20" t="s">
        <v>204</v>
      </c>
      <c r="B94" s="16" t="s">
        <v>205</v>
      </c>
      <c r="C94" s="16">
        <v>9.3138400000000003E-3</v>
      </c>
      <c r="D94" s="16">
        <v>0.10685062857596712</v>
      </c>
      <c r="E94" s="16">
        <v>5.4921699999999998</v>
      </c>
      <c r="F94" s="16">
        <v>3.7381059626018862</v>
      </c>
      <c r="G94" t="str">
        <f t="shared" si="2"/>
        <v>0-0.05</v>
      </c>
      <c r="H94">
        <f t="shared" si="3"/>
        <v>3.1123755303926175</v>
      </c>
    </row>
    <row r="95" spans="1:8" x14ac:dyDescent="0.3">
      <c r="A95" s="21" t="s">
        <v>206</v>
      </c>
      <c r="B95" s="17" t="s">
        <v>207</v>
      </c>
      <c r="C95" s="17">
        <v>0.99903600000000004</v>
      </c>
      <c r="D95" s="17">
        <v>1.0227157700040065E-2</v>
      </c>
      <c r="E95" s="17">
        <v>9.6799999999999994E-3</v>
      </c>
      <c r="F95" s="17">
        <v>-2.7486512004468867E-2</v>
      </c>
      <c r="G95" t="str">
        <f t="shared" si="2"/>
        <v>0.5-5</v>
      </c>
      <c r="H95">
        <f t="shared" si="3"/>
        <v>1.5797889901502975E-2</v>
      </c>
    </row>
    <row r="96" spans="1:8" x14ac:dyDescent="0.3">
      <c r="A96" s="20" t="s">
        <v>208</v>
      </c>
      <c r="B96" s="16" t="s">
        <v>209</v>
      </c>
      <c r="C96" s="16">
        <v>6.5942500000000003E-3</v>
      </c>
      <c r="D96" s="16">
        <v>-0.43788924434869664</v>
      </c>
      <c r="E96" s="16">
        <v>0.25842999999999999</v>
      </c>
      <c r="F96" s="16">
        <v>-8.8862103991739332</v>
      </c>
      <c r="G96" t="str">
        <f t="shared" si="2"/>
        <v>0-0.05</v>
      </c>
      <c r="H96">
        <f t="shared" si="3"/>
        <v>3.1941765478408768</v>
      </c>
    </row>
    <row r="97" spans="1:8" x14ac:dyDescent="0.3">
      <c r="A97" s="21" t="s">
        <v>210</v>
      </c>
      <c r="B97" s="17" t="s">
        <v>211</v>
      </c>
      <c r="C97" s="17">
        <v>115.31</v>
      </c>
      <c r="D97" s="17">
        <v>0</v>
      </c>
      <c r="E97" s="17">
        <v>9.1900000000000003E-3</v>
      </c>
      <c r="F97" s="17">
        <v>6.6172595311753374E-2</v>
      </c>
      <c r="G97" t="str">
        <f t="shared" si="2"/>
        <v>&gt;50</v>
      </c>
      <c r="H97">
        <f t="shared" si="3"/>
        <v>2.5120865103917794E-2</v>
      </c>
    </row>
    <row r="98" spans="1:8" x14ac:dyDescent="0.3">
      <c r="A98" s="20" t="s">
        <v>212</v>
      </c>
      <c r="B98" s="16" t="s">
        <v>213</v>
      </c>
      <c r="C98" s="16">
        <v>0.99855000000000005</v>
      </c>
      <c r="D98" s="16">
        <v>4.4487532887839989E-4</v>
      </c>
      <c r="E98" s="16">
        <v>5.0619999999999998E-2</v>
      </c>
      <c r="F98" s="16">
        <v>5.8494212316431975E-2</v>
      </c>
      <c r="G98" t="str">
        <f t="shared" si="2"/>
        <v>0.5-5</v>
      </c>
      <c r="H98">
        <f t="shared" si="3"/>
        <v>3.6519695881770127E-2</v>
      </c>
    </row>
    <row r="99" spans="1:8" x14ac:dyDescent="0.3">
      <c r="A99" s="21" t="s">
        <v>214</v>
      </c>
      <c r="B99" s="17" t="s">
        <v>215</v>
      </c>
      <c r="C99" s="17">
        <v>6.1600000000000003E-6</v>
      </c>
      <c r="D99" s="17">
        <v>-0.53513109172105677</v>
      </c>
      <c r="E99" s="17">
        <v>2.5339999999999998</v>
      </c>
      <c r="F99" s="17">
        <v>-9.2711236175321154</v>
      </c>
      <c r="G99" t="str">
        <f t="shared" si="2"/>
        <v>0-0.05</v>
      </c>
      <c r="H99">
        <f t="shared" si="3"/>
        <v>4.1134182364177239</v>
      </c>
    </row>
    <row r="100" spans="1:8" x14ac:dyDescent="0.3">
      <c r="A100" s="20" t="s">
        <v>216</v>
      </c>
      <c r="B100" s="16" t="s">
        <v>217</v>
      </c>
      <c r="C100" s="16">
        <v>0.236182</v>
      </c>
      <c r="D100" s="16">
        <v>-0.29263925232682847</v>
      </c>
      <c r="E100" s="16">
        <v>2.7501799999999998</v>
      </c>
      <c r="F100" s="16">
        <v>5.8203748195879621</v>
      </c>
      <c r="G100" t="str">
        <f t="shared" si="2"/>
        <v>0.05-0.5</v>
      </c>
      <c r="H100">
        <f t="shared" si="3"/>
        <v>2.954398023971597</v>
      </c>
    </row>
    <row r="101" spans="1:8" x14ac:dyDescent="0.3">
      <c r="A101" s="21" t="s">
        <v>218</v>
      </c>
      <c r="B101" s="17" t="s">
        <v>219</v>
      </c>
      <c r="C101" s="17">
        <v>1.004557E-2</v>
      </c>
      <c r="D101" s="17">
        <v>-6.1557530964273965</v>
      </c>
      <c r="E101" s="17">
        <v>-4.2564500000000001</v>
      </c>
      <c r="F101" s="17">
        <v>-4.5766535204846894</v>
      </c>
      <c r="G101" t="str">
        <f t="shared" si="2"/>
        <v>0-0.05</v>
      </c>
      <c r="H101">
        <f t="shared" si="3"/>
        <v>4.9962855389706959</v>
      </c>
    </row>
    <row r="102" spans="1:8" x14ac:dyDescent="0.3">
      <c r="A102" s="20" t="s">
        <v>220</v>
      </c>
      <c r="B102" s="16" t="s">
        <v>221</v>
      </c>
      <c r="C102" s="16">
        <v>1.299224E-2</v>
      </c>
      <c r="D102" s="16">
        <v>0.74374329820953344</v>
      </c>
      <c r="E102" s="16">
        <v>4.8166700000000002</v>
      </c>
      <c r="F102" s="16">
        <v>0.75623263296258847</v>
      </c>
      <c r="G102" t="str">
        <f t="shared" si="2"/>
        <v>0-0.05</v>
      </c>
      <c r="H102">
        <f t="shared" si="3"/>
        <v>2.1055486437240409</v>
      </c>
    </row>
    <row r="103" spans="1:8" x14ac:dyDescent="0.3">
      <c r="A103" s="21" t="s">
        <v>222</v>
      </c>
      <c r="B103" s="17" t="s">
        <v>223</v>
      </c>
      <c r="C103" s="17">
        <v>0.99986399999999998</v>
      </c>
      <c r="D103" s="17">
        <v>5.8097547618077491E-3</v>
      </c>
      <c r="E103" s="17">
        <v>1.2239999999999999E-2</v>
      </c>
      <c r="F103" s="17">
        <v>1.4835584255099897E-2</v>
      </c>
      <c r="G103" t="str">
        <f t="shared" si="2"/>
        <v>0.5-5</v>
      </c>
      <c r="H103">
        <f t="shared" si="3"/>
        <v>1.096177967230255E-2</v>
      </c>
    </row>
    <row r="104" spans="1:8" x14ac:dyDescent="0.3">
      <c r="A104" s="20" t="s">
        <v>224</v>
      </c>
      <c r="B104" s="16" t="s">
        <v>225</v>
      </c>
      <c r="C104" s="16">
        <v>3.027649E-2</v>
      </c>
      <c r="D104" s="16">
        <v>0.53323550554772248</v>
      </c>
      <c r="E104" s="16">
        <v>-1.4766300000000001</v>
      </c>
      <c r="F104" s="16">
        <v>-6.7427124026041891</v>
      </c>
      <c r="G104" t="str">
        <f t="shared" si="2"/>
        <v>0-0.05</v>
      </c>
      <c r="H104">
        <f t="shared" si="3"/>
        <v>2.9175259693839704</v>
      </c>
    </row>
    <row r="105" spans="1:8" x14ac:dyDescent="0.3">
      <c r="A105" s="21" t="s">
        <v>228</v>
      </c>
      <c r="B105" s="17" t="s">
        <v>229</v>
      </c>
      <c r="C105" s="17">
        <v>0.99854200000000004</v>
      </c>
      <c r="D105" s="17">
        <v>-8.5989128240925403E-2</v>
      </c>
      <c r="E105" s="17">
        <v>-4.6580000000000003E-2</v>
      </c>
      <c r="F105" s="17">
        <v>-0.10563502589927184</v>
      </c>
      <c r="G105" t="str">
        <f t="shared" si="2"/>
        <v>0.5-5</v>
      </c>
      <c r="H105">
        <f t="shared" si="3"/>
        <v>7.9401384713399081E-2</v>
      </c>
    </row>
    <row r="106" spans="1:8" x14ac:dyDescent="0.3">
      <c r="A106" s="20" t="s">
        <v>226</v>
      </c>
      <c r="B106" s="16" t="s">
        <v>227</v>
      </c>
      <c r="C106" s="16">
        <v>4.93</v>
      </c>
      <c r="D106" s="16">
        <v>-0.94066156139839119</v>
      </c>
      <c r="E106" s="16">
        <v>-0.23676</v>
      </c>
      <c r="F106" s="16">
        <v>-1.8249166526109768</v>
      </c>
      <c r="G106" t="str">
        <f t="shared" si="2"/>
        <v>0.5-5</v>
      </c>
      <c r="H106">
        <f t="shared" si="3"/>
        <v>1.0007794046697893</v>
      </c>
    </row>
    <row r="107" spans="1:8" x14ac:dyDescent="0.3">
      <c r="A107" s="21" t="s">
        <v>230</v>
      </c>
      <c r="B107" s="17" t="s">
        <v>231</v>
      </c>
      <c r="C107" s="17">
        <v>0.99967799999999996</v>
      </c>
      <c r="D107" s="17">
        <v>3.1267460640867009E-3</v>
      </c>
      <c r="E107" s="17">
        <v>7.9900000000000006E-3</v>
      </c>
      <c r="F107" s="17">
        <v>-1.3009006591644962E-2</v>
      </c>
      <c r="G107" t="str">
        <f t="shared" si="2"/>
        <v>0.5-5</v>
      </c>
      <c r="H107">
        <f t="shared" si="3"/>
        <v>8.0419175519105546E-3</v>
      </c>
    </row>
    <row r="108" spans="1:8" x14ac:dyDescent="0.3">
      <c r="A108" s="20" t="s">
        <v>234</v>
      </c>
      <c r="B108" s="16" t="s">
        <v>235</v>
      </c>
      <c r="C108" s="16">
        <v>1.38</v>
      </c>
      <c r="D108" s="16">
        <v>0.85723729515254488</v>
      </c>
      <c r="E108" s="16">
        <v>0.50178</v>
      </c>
      <c r="F108" s="16">
        <v>1.396854929538426</v>
      </c>
      <c r="G108" t="str">
        <f t="shared" si="2"/>
        <v>0.5-5</v>
      </c>
      <c r="H108">
        <f t="shared" si="3"/>
        <v>0.91862407489699027</v>
      </c>
    </row>
    <row r="109" spans="1:8" x14ac:dyDescent="0.3">
      <c r="A109" s="21" t="s">
        <v>232</v>
      </c>
      <c r="B109" s="17" t="s">
        <v>233</v>
      </c>
      <c r="C109" s="17">
        <v>2.04</v>
      </c>
      <c r="D109" s="17">
        <v>-0.80213476534117634</v>
      </c>
      <c r="E109" s="17">
        <v>-0.16904</v>
      </c>
      <c r="F109" s="17">
        <v>-13.813769668634448</v>
      </c>
      <c r="G109" t="str">
        <f t="shared" si="2"/>
        <v>0.5-5</v>
      </c>
      <c r="H109">
        <f t="shared" si="3"/>
        <v>4.9283148113252082</v>
      </c>
    </row>
    <row r="110" spans="1:8" x14ac:dyDescent="0.3">
      <c r="A110" s="20" t="s">
        <v>236</v>
      </c>
      <c r="B110" s="16" t="s">
        <v>237</v>
      </c>
      <c r="C110" s="16">
        <v>0.73280100000000004</v>
      </c>
      <c r="D110" s="16">
        <v>-0.91518623852076797</v>
      </c>
      <c r="E110" s="16">
        <v>1.76427</v>
      </c>
      <c r="F110" s="16">
        <v>-4.6572740844001377</v>
      </c>
      <c r="G110" t="str">
        <f t="shared" si="2"/>
        <v>0.5-5</v>
      </c>
      <c r="H110">
        <f t="shared" si="3"/>
        <v>2.4455767743069683</v>
      </c>
    </row>
    <row r="111" spans="1:8" x14ac:dyDescent="0.3">
      <c r="A111" s="21" t="s">
        <v>238</v>
      </c>
      <c r="B111" s="17" t="s">
        <v>239</v>
      </c>
      <c r="C111" s="17">
        <v>1.45</v>
      </c>
      <c r="D111" s="17">
        <v>4.1447496129224208E-2</v>
      </c>
      <c r="E111" s="17">
        <v>2.7536999999999998</v>
      </c>
      <c r="F111" s="17">
        <v>-4.5586737825745454</v>
      </c>
      <c r="G111" t="str">
        <f t="shared" si="2"/>
        <v>0.5-5</v>
      </c>
      <c r="H111">
        <f t="shared" si="3"/>
        <v>2.4512737595679233</v>
      </c>
    </row>
    <row r="112" spans="1:8" x14ac:dyDescent="0.3">
      <c r="A112" s="20" t="s">
        <v>240</v>
      </c>
      <c r="B112" s="16" t="s">
        <v>241</v>
      </c>
      <c r="C112" s="16">
        <v>0.248942</v>
      </c>
      <c r="D112" s="16">
        <v>-2.0648232511594364</v>
      </c>
      <c r="E112" s="16">
        <v>2.8649</v>
      </c>
      <c r="F112" s="16">
        <v>-2.3655724660467539</v>
      </c>
      <c r="G112" t="str">
        <f t="shared" si="2"/>
        <v>0.05-0.5</v>
      </c>
      <c r="H112">
        <f t="shared" si="3"/>
        <v>2.4317652390687301</v>
      </c>
    </row>
    <row r="113" spans="1:8" x14ac:dyDescent="0.3">
      <c r="A113" s="21" t="s">
        <v>242</v>
      </c>
      <c r="B113" s="17" t="s">
        <v>243</v>
      </c>
      <c r="C113" s="17">
        <v>0.24349899999999999</v>
      </c>
      <c r="D113" s="17">
        <v>-0.38965096199466137</v>
      </c>
      <c r="E113" s="17">
        <v>2.0144600000000001</v>
      </c>
      <c r="F113" s="17">
        <v>-9.2811525963922445</v>
      </c>
      <c r="G113" t="str">
        <f t="shared" si="2"/>
        <v>0.05-0.5</v>
      </c>
      <c r="H113">
        <f t="shared" si="3"/>
        <v>3.8950878527956352</v>
      </c>
    </row>
    <row r="114" spans="1:8" x14ac:dyDescent="0.3">
      <c r="A114" s="20" t="s">
        <v>244</v>
      </c>
      <c r="B114" s="16" t="s">
        <v>245</v>
      </c>
      <c r="C114" s="16">
        <v>4.3249959999999997E-2</v>
      </c>
      <c r="D114" s="16">
        <v>-1.1358438426370945</v>
      </c>
      <c r="E114" s="16">
        <v>-7.3443399999999999</v>
      </c>
      <c r="F114" s="16">
        <v>1.7245388111977915</v>
      </c>
      <c r="G114" t="str">
        <f t="shared" si="2"/>
        <v>0-0.05</v>
      </c>
      <c r="H114">
        <f t="shared" si="3"/>
        <v>3.4015742179449617</v>
      </c>
    </row>
    <row r="115" spans="1:8" x14ac:dyDescent="0.3">
      <c r="A115" s="21" t="s">
        <v>248</v>
      </c>
      <c r="B115" s="17" t="s">
        <v>249</v>
      </c>
      <c r="C115" s="17">
        <v>0.43762800000000002</v>
      </c>
      <c r="D115" s="17">
        <v>0.41786221904224868</v>
      </c>
      <c r="E115" s="17">
        <v>-0.85145000000000004</v>
      </c>
      <c r="F115" s="17">
        <v>13.129260580405759</v>
      </c>
      <c r="G115" t="str">
        <f t="shared" si="2"/>
        <v>0.05-0.5</v>
      </c>
      <c r="H115">
        <f t="shared" si="3"/>
        <v>4.7995242664826696</v>
      </c>
    </row>
    <row r="116" spans="1:8" x14ac:dyDescent="0.3">
      <c r="A116" s="20" t="s">
        <v>246</v>
      </c>
      <c r="B116" s="16" t="s">
        <v>247</v>
      </c>
      <c r="C116" s="16">
        <v>0.19362299999999999</v>
      </c>
      <c r="D116" s="16">
        <v>-1.2785764690005983</v>
      </c>
      <c r="E116" s="16">
        <v>1.5843400000000001</v>
      </c>
      <c r="F116" s="16">
        <v>-8.2902450202843294</v>
      </c>
      <c r="G116" t="str">
        <f t="shared" si="2"/>
        <v>0.05-0.5</v>
      </c>
      <c r="H116">
        <f t="shared" si="3"/>
        <v>3.7177204964283095</v>
      </c>
    </row>
    <row r="117" spans="1:8" x14ac:dyDescent="0.3">
      <c r="A117" s="21" t="s">
        <v>250</v>
      </c>
      <c r="B117" s="17" t="s">
        <v>251</v>
      </c>
      <c r="C117" s="17">
        <v>1.1599999999999999</v>
      </c>
      <c r="D117" s="17">
        <v>2.3664700818693984E-2</v>
      </c>
      <c r="E117" s="17">
        <v>0.30115999999999998</v>
      </c>
      <c r="F117" s="17">
        <v>-0.69619386757828416</v>
      </c>
      <c r="G117" t="str">
        <f t="shared" si="2"/>
        <v>0.5-5</v>
      </c>
      <c r="H117">
        <f t="shared" si="3"/>
        <v>0.34033952279899271</v>
      </c>
    </row>
    <row r="118" spans="1:8" x14ac:dyDescent="0.3">
      <c r="A118" s="20" t="s">
        <v>252</v>
      </c>
      <c r="B118" s="16" t="s">
        <v>253</v>
      </c>
      <c r="C118" s="16">
        <v>1.0349999999999999</v>
      </c>
      <c r="D118" s="16">
        <v>0</v>
      </c>
      <c r="E118" s="16">
        <v>7.92E-3</v>
      </c>
      <c r="F118" s="16">
        <v>6.4771723179184532E-2</v>
      </c>
      <c r="G118" t="str">
        <f t="shared" si="2"/>
        <v>0.5-5</v>
      </c>
      <c r="H118">
        <f t="shared" si="3"/>
        <v>2.4230574393061508E-2</v>
      </c>
    </row>
    <row r="119" spans="1:8" x14ac:dyDescent="0.3">
      <c r="A119" s="21" t="s">
        <v>254</v>
      </c>
      <c r="B119" s="17" t="s">
        <v>255</v>
      </c>
      <c r="C119" s="17">
        <v>7.6660000000000001E-5</v>
      </c>
      <c r="D119" s="17">
        <v>-0.47084749742235543</v>
      </c>
      <c r="E119" s="17">
        <v>-0.44874999999999998</v>
      </c>
      <c r="F119" s="17">
        <v>-6.4015324491412908</v>
      </c>
      <c r="G119" t="str">
        <f t="shared" si="2"/>
        <v>0-0.05</v>
      </c>
      <c r="H119">
        <f t="shared" si="3"/>
        <v>2.4403766488545489</v>
      </c>
    </row>
    <row r="120" spans="1:8" x14ac:dyDescent="0.3">
      <c r="A120" s="20" t="s">
        <v>256</v>
      </c>
      <c r="B120" s="16" t="s">
        <v>257</v>
      </c>
      <c r="C120" s="16">
        <v>1.17</v>
      </c>
      <c r="D120" s="16">
        <v>5.9546031291912063E-2</v>
      </c>
      <c r="E120" s="16">
        <v>0.35361999999999999</v>
      </c>
      <c r="F120" s="16">
        <v>-0.67442482501248802</v>
      </c>
      <c r="G120" t="str">
        <f t="shared" si="2"/>
        <v>0.5-5</v>
      </c>
      <c r="H120">
        <f t="shared" si="3"/>
        <v>0.36253028543480004</v>
      </c>
    </row>
    <row r="121" spans="1:8" x14ac:dyDescent="0.3">
      <c r="A121" s="21" t="s">
        <v>258</v>
      </c>
      <c r="B121" s="17" t="s">
        <v>259</v>
      </c>
      <c r="C121" s="17">
        <v>6.2087999999999997E-2</v>
      </c>
      <c r="D121" s="17">
        <v>-0.56684600329461188</v>
      </c>
      <c r="E121" s="17">
        <v>2.1103700000000001</v>
      </c>
      <c r="F121" s="17">
        <v>-6.3570964510338115</v>
      </c>
      <c r="G121" t="str">
        <f t="shared" si="2"/>
        <v>0.05-0.5</v>
      </c>
      <c r="H121">
        <f t="shared" si="3"/>
        <v>3.0114374847761414</v>
      </c>
    </row>
    <row r="122" spans="1:8" x14ac:dyDescent="0.3">
      <c r="A122" s="20" t="s">
        <v>260</v>
      </c>
      <c r="B122" s="16" t="s">
        <v>261</v>
      </c>
      <c r="C122" s="16">
        <v>3.88</v>
      </c>
      <c r="D122" s="16">
        <v>4.6932999382679169E-2</v>
      </c>
      <c r="E122" s="16">
        <v>0.31663000000000002</v>
      </c>
      <c r="F122" s="16">
        <v>-3.5257451525254302</v>
      </c>
      <c r="G122" t="str">
        <f t="shared" si="2"/>
        <v>0.5-5</v>
      </c>
      <c r="H122">
        <f t="shared" si="3"/>
        <v>1.2964360506360364</v>
      </c>
    </row>
    <row r="123" spans="1:8" x14ac:dyDescent="0.3">
      <c r="A123" s="21" t="s">
        <v>262</v>
      </c>
      <c r="B123" s="17" t="s">
        <v>263</v>
      </c>
      <c r="C123" s="17">
        <v>0.99956999999999996</v>
      </c>
      <c r="D123" s="17">
        <v>-2.2825705710728492E-2</v>
      </c>
      <c r="E123" s="17">
        <v>1.243E-2</v>
      </c>
      <c r="F123" s="17">
        <v>-2.1964573362665721E-2</v>
      </c>
      <c r="G123" t="str">
        <f t="shared" si="2"/>
        <v>0.5-5</v>
      </c>
      <c r="H123">
        <f t="shared" si="3"/>
        <v>1.907342635779807E-2</v>
      </c>
    </row>
    <row r="124" spans="1:8" x14ac:dyDescent="0.3">
      <c r="A124" s="20" t="s">
        <v>264</v>
      </c>
      <c r="B124" s="16" t="s">
        <v>265</v>
      </c>
      <c r="C124" s="16">
        <v>0.42183399999999999</v>
      </c>
      <c r="D124" s="16">
        <v>-0.15854028913523016</v>
      </c>
      <c r="E124" s="16">
        <v>2.6947700000000001</v>
      </c>
      <c r="F124" s="16">
        <v>-8.5827582618479568</v>
      </c>
      <c r="G124" t="str">
        <f t="shared" si="2"/>
        <v>0.05-0.5</v>
      </c>
      <c r="H124">
        <f t="shared" si="3"/>
        <v>3.8120228503277289</v>
      </c>
    </row>
    <row r="125" spans="1:8" x14ac:dyDescent="0.3">
      <c r="A125" s="21" t="s">
        <v>266</v>
      </c>
      <c r="B125" s="17" t="s">
        <v>267</v>
      </c>
      <c r="C125" s="17">
        <v>2.0131980000000001E-2</v>
      </c>
      <c r="D125" s="17">
        <v>9.6325534298319124E-2</v>
      </c>
      <c r="E125" s="17">
        <v>1.97557</v>
      </c>
      <c r="F125" s="17">
        <v>0.52114467459328628</v>
      </c>
      <c r="G125" t="str">
        <f t="shared" si="2"/>
        <v>0-0.05</v>
      </c>
      <c r="H125">
        <f t="shared" si="3"/>
        <v>0.86434673629720171</v>
      </c>
    </row>
    <row r="126" spans="1:8" x14ac:dyDescent="0.3">
      <c r="A126" s="20" t="s">
        <v>268</v>
      </c>
      <c r="B126" s="16" t="s">
        <v>269</v>
      </c>
      <c r="C126" s="16">
        <v>0.11056000000000001</v>
      </c>
      <c r="D126" s="16">
        <v>-1.1516376048372927</v>
      </c>
      <c r="E126" s="16">
        <v>18.121580000000002</v>
      </c>
      <c r="F126" s="16">
        <v>5.5910979670554442</v>
      </c>
      <c r="G126" t="str">
        <f t="shared" si="2"/>
        <v>0.05-0.5</v>
      </c>
      <c r="H126">
        <f t="shared" si="3"/>
        <v>8.2881051906309136</v>
      </c>
    </row>
    <row r="127" spans="1:8" x14ac:dyDescent="0.3">
      <c r="A127" s="21" t="s">
        <v>270</v>
      </c>
      <c r="B127" s="17" t="s">
        <v>271</v>
      </c>
      <c r="C127" s="17">
        <v>0.34807300000000002</v>
      </c>
      <c r="D127" s="17">
        <v>-5.5739572009547003E-2</v>
      </c>
      <c r="E127" s="17">
        <v>3.20601</v>
      </c>
      <c r="F127" s="17">
        <v>-7.5705610687768541</v>
      </c>
      <c r="G127" t="str">
        <f t="shared" si="2"/>
        <v>0.05-0.5</v>
      </c>
      <c r="H127">
        <f t="shared" si="3"/>
        <v>3.6107702135954671</v>
      </c>
    </row>
    <row r="128" spans="1:8" x14ac:dyDescent="0.3">
      <c r="A128" s="20" t="s">
        <v>272</v>
      </c>
      <c r="B128" s="16" t="s">
        <v>273</v>
      </c>
      <c r="C128" s="16">
        <v>0.99834400000000001</v>
      </c>
      <c r="D128" s="16">
        <v>3.1897769888207458E-2</v>
      </c>
      <c r="E128" s="16">
        <v>6.3159999999999994E-2</v>
      </c>
      <c r="F128" s="16">
        <v>4.5456217658799786E-2</v>
      </c>
      <c r="G128" t="str">
        <f t="shared" si="2"/>
        <v>0.5-5</v>
      </c>
      <c r="H128">
        <f t="shared" si="3"/>
        <v>4.683799584900241E-2</v>
      </c>
    </row>
    <row r="129" spans="1:8" x14ac:dyDescent="0.3">
      <c r="A129" s="21" t="s">
        <v>274</v>
      </c>
      <c r="B129" s="17" t="s">
        <v>275</v>
      </c>
      <c r="C129" s="17">
        <v>0.51069799999999999</v>
      </c>
      <c r="D129" s="17">
        <v>-0.83747680478302855</v>
      </c>
      <c r="E129" s="17">
        <v>-5.1326999999999998</v>
      </c>
      <c r="F129" s="17">
        <v>-8.5946928314079685</v>
      </c>
      <c r="G129" t="str">
        <f t="shared" si="2"/>
        <v>0.5-5</v>
      </c>
      <c r="H129">
        <f t="shared" si="3"/>
        <v>4.8549565453969992</v>
      </c>
    </row>
    <row r="130" spans="1:8" x14ac:dyDescent="0.3">
      <c r="A130" s="20" t="s">
        <v>276</v>
      </c>
      <c r="B130" s="16" t="s">
        <v>277</v>
      </c>
      <c r="C130" s="16">
        <v>0.402478</v>
      </c>
      <c r="D130" s="16">
        <v>-1.0742652871668881</v>
      </c>
      <c r="E130" s="16">
        <v>0.38993</v>
      </c>
      <c r="F130" s="16">
        <v>-10.773765529098862</v>
      </c>
      <c r="G130" t="str">
        <f t="shared" si="2"/>
        <v>0.05-0.5</v>
      </c>
      <c r="H130">
        <f t="shared" si="3"/>
        <v>4.0793202720885828</v>
      </c>
    </row>
    <row r="131" spans="1:8" x14ac:dyDescent="0.3">
      <c r="A131" s="21" t="s">
        <v>278</v>
      </c>
      <c r="B131" s="17" t="s">
        <v>279</v>
      </c>
      <c r="C131" s="17">
        <v>6.0499999999999997E-6</v>
      </c>
      <c r="D131" s="17">
        <v>-4.7070535088897936</v>
      </c>
      <c r="E131" s="17">
        <v>44.260750000000002</v>
      </c>
      <c r="F131" s="17"/>
      <c r="G131" t="str">
        <f t="shared" ref="G131:G194" si="4">IF(C131&lt;=0.05,"0-0.05",
IF(C131&lt;=0.5,"0.05-0.5",
IF(C131&lt;=5,"0.5-5",
IF(C131&lt;=50,"5-50","&gt;50"))))</f>
        <v>0-0.05</v>
      </c>
      <c r="H131">
        <f t="shared" ref="H131:H194" si="5">AVERAGE(ABS(D131),ABS(E131),ABS(F131))</f>
        <v>16.32260116962993</v>
      </c>
    </row>
    <row r="132" spans="1:8" x14ac:dyDescent="0.3">
      <c r="A132" s="20" t="s">
        <v>280</v>
      </c>
      <c r="B132" s="16" t="s">
        <v>281</v>
      </c>
      <c r="C132" s="16">
        <v>0.38855800000000001</v>
      </c>
      <c r="D132" s="16">
        <v>-2.3028339129458826</v>
      </c>
      <c r="E132" s="16">
        <v>4.0667900000000001</v>
      </c>
      <c r="F132" s="16">
        <v>-6.3669849144861486</v>
      </c>
      <c r="G132" t="str">
        <f t="shared" si="4"/>
        <v>0.05-0.5</v>
      </c>
      <c r="H132">
        <f t="shared" si="5"/>
        <v>4.2455362758106778</v>
      </c>
    </row>
    <row r="133" spans="1:8" x14ac:dyDescent="0.3">
      <c r="A133" s="21" t="s">
        <v>282</v>
      </c>
      <c r="B133" s="17" t="s">
        <v>283</v>
      </c>
      <c r="C133" s="17">
        <v>0.23450799999999999</v>
      </c>
      <c r="D133" s="17">
        <v>-0.81519762586690392</v>
      </c>
      <c r="E133" s="17">
        <v>-1.0245599999999999</v>
      </c>
      <c r="F133" s="17">
        <v>-11.845152085276656</v>
      </c>
      <c r="G133" t="str">
        <f t="shared" si="4"/>
        <v>0.05-0.5</v>
      </c>
      <c r="H133">
        <f t="shared" si="5"/>
        <v>4.5616365703811868</v>
      </c>
    </row>
    <row r="134" spans="1:8" x14ac:dyDescent="0.3">
      <c r="A134" s="20" t="s">
        <v>284</v>
      </c>
      <c r="B134" s="16" t="s">
        <v>285</v>
      </c>
      <c r="C134" s="16">
        <v>1.42</v>
      </c>
      <c r="D134" s="16">
        <v>3.0246675251777844</v>
      </c>
      <c r="E134" s="16">
        <v>18.801600000000001</v>
      </c>
      <c r="F134" s="16">
        <v>59.317000667836965</v>
      </c>
      <c r="G134" t="str">
        <f t="shared" si="4"/>
        <v>0.5-5</v>
      </c>
      <c r="H134">
        <f t="shared" si="5"/>
        <v>27.047756064338248</v>
      </c>
    </row>
    <row r="135" spans="1:8" x14ac:dyDescent="0.3">
      <c r="A135" s="21" t="s">
        <v>286</v>
      </c>
      <c r="B135" s="17" t="s">
        <v>287</v>
      </c>
      <c r="C135" s="17">
        <v>1.38</v>
      </c>
      <c r="D135" s="17">
        <v>-0.28837439042785062</v>
      </c>
      <c r="E135" s="17">
        <v>2.7849499999999998</v>
      </c>
      <c r="F135" s="17">
        <v>-1.6269764424295274</v>
      </c>
      <c r="G135" t="str">
        <f t="shared" si="4"/>
        <v>0.5-5</v>
      </c>
      <c r="H135">
        <f t="shared" si="5"/>
        <v>1.5667669442857928</v>
      </c>
    </row>
    <row r="136" spans="1:8" x14ac:dyDescent="0.3">
      <c r="A136" s="20" t="s">
        <v>288</v>
      </c>
      <c r="B136" s="16" t="s">
        <v>289</v>
      </c>
      <c r="C136" s="16">
        <v>144.13</v>
      </c>
      <c r="D136" s="16">
        <v>-2.8582104671558547E-3</v>
      </c>
      <c r="E136" s="16">
        <v>0.59263999999999994</v>
      </c>
      <c r="F136" s="16">
        <v>-5.1785984029551404</v>
      </c>
      <c r="G136" t="str">
        <f t="shared" si="4"/>
        <v>&gt;50</v>
      </c>
      <c r="H136">
        <f t="shared" si="5"/>
        <v>1.9246988711407653</v>
      </c>
    </row>
    <row r="137" spans="1:8" x14ac:dyDescent="0.3">
      <c r="A137" s="21" t="s">
        <v>290</v>
      </c>
      <c r="B137" s="17" t="s">
        <v>291</v>
      </c>
      <c r="C137" s="17">
        <v>0.34193800000000002</v>
      </c>
      <c r="D137" s="17">
        <v>-0.58887890381040819</v>
      </c>
      <c r="E137" s="17">
        <v>6.5104600000000001</v>
      </c>
      <c r="F137" s="17">
        <v>-8.7695096850001288</v>
      </c>
      <c r="G137" t="str">
        <f t="shared" si="4"/>
        <v>0.05-0.5</v>
      </c>
      <c r="H137">
        <f t="shared" si="5"/>
        <v>5.2896161962701784</v>
      </c>
    </row>
    <row r="138" spans="1:8" x14ac:dyDescent="0.3">
      <c r="A138" s="20" t="s">
        <v>292</v>
      </c>
      <c r="B138" s="16" t="s">
        <v>293</v>
      </c>
      <c r="C138" s="16">
        <v>0.38308399999999998</v>
      </c>
      <c r="D138" s="16">
        <v>-0.57606204052743182</v>
      </c>
      <c r="E138" s="16">
        <v>1.26953</v>
      </c>
      <c r="F138" s="16">
        <v>-14.212334579290792</v>
      </c>
      <c r="G138" t="str">
        <f t="shared" si="4"/>
        <v>0.05-0.5</v>
      </c>
      <c r="H138">
        <f t="shared" si="5"/>
        <v>5.3526422066060748</v>
      </c>
    </row>
    <row r="139" spans="1:8" x14ac:dyDescent="0.3">
      <c r="A139" s="21" t="s">
        <v>294</v>
      </c>
      <c r="B139" s="17" t="s">
        <v>295</v>
      </c>
      <c r="C139" s="17">
        <v>4.3899999999999997</v>
      </c>
      <c r="D139" s="17">
        <v>-2.8118704607825489E-2</v>
      </c>
      <c r="E139" s="17">
        <v>6.68072</v>
      </c>
      <c r="F139" s="17">
        <v>-19.852966232672596</v>
      </c>
      <c r="G139" t="str">
        <f t="shared" si="4"/>
        <v>0.5-5</v>
      </c>
      <c r="H139">
        <f t="shared" si="5"/>
        <v>8.8539349790934736</v>
      </c>
    </row>
    <row r="140" spans="1:8" x14ac:dyDescent="0.3">
      <c r="A140" s="20" t="s">
        <v>296</v>
      </c>
      <c r="B140" s="16" t="s">
        <v>297</v>
      </c>
      <c r="C140" s="16">
        <v>0.99989499999999998</v>
      </c>
      <c r="D140" s="16">
        <v>1.4221386783271795E-2</v>
      </c>
      <c r="E140" s="16">
        <v>3.98E-3</v>
      </c>
      <c r="F140" s="16">
        <v>1.7999601673864142E-2</v>
      </c>
      <c r="G140" t="str">
        <f t="shared" si="4"/>
        <v>0.5-5</v>
      </c>
      <c r="H140">
        <f t="shared" si="5"/>
        <v>1.2066996152378646E-2</v>
      </c>
    </row>
    <row r="141" spans="1:8" x14ac:dyDescent="0.3">
      <c r="A141" s="21" t="s">
        <v>298</v>
      </c>
      <c r="B141" s="17" t="s">
        <v>299</v>
      </c>
      <c r="C141" s="17">
        <v>4.1979330000000002E-2</v>
      </c>
      <c r="D141" s="17">
        <v>-0.21228335426243777</v>
      </c>
      <c r="E141" s="17">
        <v>3.4300099999999998</v>
      </c>
      <c r="F141" s="17">
        <v>-16.762223293820089</v>
      </c>
      <c r="G141" t="str">
        <f t="shared" si="4"/>
        <v>0-0.05</v>
      </c>
      <c r="H141">
        <f t="shared" si="5"/>
        <v>6.8015055493608427</v>
      </c>
    </row>
    <row r="142" spans="1:8" x14ac:dyDescent="0.3">
      <c r="A142" s="20" t="s">
        <v>302</v>
      </c>
      <c r="B142" s="16" t="s">
        <v>303</v>
      </c>
      <c r="C142" s="16">
        <v>3.9454759999999998E-2</v>
      </c>
      <c r="D142" s="16">
        <v>-2.2418454740153838E-2</v>
      </c>
      <c r="E142" s="16">
        <v>-0.53420000000000001</v>
      </c>
      <c r="F142" s="16">
        <v>50.638513123721992</v>
      </c>
      <c r="G142" t="str">
        <f t="shared" si="4"/>
        <v>0-0.05</v>
      </c>
      <c r="H142">
        <f t="shared" si="5"/>
        <v>17.065043859487382</v>
      </c>
    </row>
    <row r="143" spans="1:8" x14ac:dyDescent="0.3">
      <c r="A143" s="21" t="s">
        <v>300</v>
      </c>
      <c r="B143" s="17" t="s">
        <v>301</v>
      </c>
      <c r="C143" s="17">
        <v>2.7296379999999999E-2</v>
      </c>
      <c r="D143" s="17">
        <v>-1.1465244661153251</v>
      </c>
      <c r="E143" s="17">
        <v>3.7958699999999999</v>
      </c>
      <c r="F143" s="17">
        <v>-8.6853530736421334</v>
      </c>
      <c r="G143" t="str">
        <f t="shared" si="4"/>
        <v>0-0.05</v>
      </c>
      <c r="H143">
        <f t="shared" si="5"/>
        <v>4.5425825132524862</v>
      </c>
    </row>
    <row r="144" spans="1:8" x14ac:dyDescent="0.3">
      <c r="A144" s="20" t="s">
        <v>304</v>
      </c>
      <c r="B144" s="16" t="s">
        <v>305</v>
      </c>
      <c r="C144" s="16">
        <v>3.2307699999999998E-7</v>
      </c>
      <c r="D144" s="16">
        <v>-0.14271893347297124</v>
      </c>
      <c r="E144" s="16">
        <v>0.52371000000000001</v>
      </c>
      <c r="F144" s="16">
        <v>-1.0899312208431138</v>
      </c>
      <c r="G144" t="str">
        <f t="shared" si="4"/>
        <v>0-0.05</v>
      </c>
      <c r="H144">
        <f t="shared" si="5"/>
        <v>0.58545338477202835</v>
      </c>
    </row>
    <row r="145" spans="1:8" x14ac:dyDescent="0.3">
      <c r="A145" s="21" t="s">
        <v>306</v>
      </c>
      <c r="B145" s="17" t="s">
        <v>307</v>
      </c>
      <c r="C145" s="17">
        <v>1.84</v>
      </c>
      <c r="D145" s="17">
        <v>-1.0454899598452905</v>
      </c>
      <c r="E145" s="17">
        <v>4.6445100000000004</v>
      </c>
      <c r="F145" s="17">
        <v>-7.1445817932159583</v>
      </c>
      <c r="G145" t="str">
        <f t="shared" si="4"/>
        <v>0.5-5</v>
      </c>
      <c r="H145">
        <f t="shared" si="5"/>
        <v>4.2781939176870827</v>
      </c>
    </row>
    <row r="146" spans="1:8" x14ac:dyDescent="0.3">
      <c r="A146" s="20" t="s">
        <v>308</v>
      </c>
      <c r="B146" s="16" t="s">
        <v>309</v>
      </c>
      <c r="C146" s="16">
        <v>118.67</v>
      </c>
      <c r="D146" s="16">
        <v>-0.34598260317002993</v>
      </c>
      <c r="E146" s="16">
        <v>0.18432999999999999</v>
      </c>
      <c r="F146" s="16">
        <v>-6.5532931970090704</v>
      </c>
      <c r="G146" t="str">
        <f t="shared" si="4"/>
        <v>&gt;50</v>
      </c>
      <c r="H146">
        <f t="shared" si="5"/>
        <v>2.3612019333930334</v>
      </c>
    </row>
    <row r="147" spans="1:8" x14ac:dyDescent="0.3">
      <c r="A147" s="21" t="s">
        <v>310</v>
      </c>
      <c r="B147" s="17" t="s">
        <v>311</v>
      </c>
      <c r="C147" s="17">
        <v>5.2684000000000002E-2</v>
      </c>
      <c r="D147" s="17">
        <v>1.1304244275461957</v>
      </c>
      <c r="E147" s="17">
        <v>2.7868599999999999</v>
      </c>
      <c r="F147" s="17">
        <v>10.006767595255427</v>
      </c>
      <c r="G147" t="str">
        <f t="shared" si="4"/>
        <v>0.05-0.5</v>
      </c>
      <c r="H147">
        <f t="shared" si="5"/>
        <v>4.6413506742672075</v>
      </c>
    </row>
    <row r="148" spans="1:8" x14ac:dyDescent="0.3">
      <c r="A148" s="20" t="s">
        <v>312</v>
      </c>
      <c r="B148" s="16" t="s">
        <v>313</v>
      </c>
      <c r="C148" s="16">
        <v>1.0389999999999999</v>
      </c>
      <c r="D148" s="16">
        <v>3.6413312387483326E-2</v>
      </c>
      <c r="E148" s="16">
        <v>4.2520000000000002E-2</v>
      </c>
      <c r="F148" s="16">
        <v>0.17854974146975278</v>
      </c>
      <c r="G148" t="str">
        <f t="shared" si="4"/>
        <v>0.5-5</v>
      </c>
      <c r="H148">
        <f t="shared" si="5"/>
        <v>8.5827684619078706E-2</v>
      </c>
    </row>
    <row r="149" spans="1:8" x14ac:dyDescent="0.3">
      <c r="A149" s="21" t="s">
        <v>314</v>
      </c>
      <c r="B149" s="17" t="s">
        <v>315</v>
      </c>
      <c r="C149" s="17">
        <v>0.358068</v>
      </c>
      <c r="D149" s="17">
        <v>-0.99276731782324401</v>
      </c>
      <c r="E149" s="17">
        <v>0.12653</v>
      </c>
      <c r="F149" s="17">
        <v>-6.2938872758589577</v>
      </c>
      <c r="G149" t="str">
        <f t="shared" si="4"/>
        <v>0.05-0.5</v>
      </c>
      <c r="H149">
        <f t="shared" si="5"/>
        <v>2.4710615312274005</v>
      </c>
    </row>
    <row r="150" spans="1:8" x14ac:dyDescent="0.3">
      <c r="A150" s="20" t="s">
        <v>316</v>
      </c>
      <c r="B150" s="16" t="s">
        <v>317</v>
      </c>
      <c r="C150" s="16">
        <v>17.489999999999998</v>
      </c>
      <c r="D150" s="16">
        <v>0.64918931790000312</v>
      </c>
      <c r="E150" s="16">
        <v>3.3765800000000001</v>
      </c>
      <c r="F150" s="16">
        <v>-6.1461130692192745</v>
      </c>
      <c r="G150" t="str">
        <f t="shared" si="4"/>
        <v>5-50</v>
      </c>
      <c r="H150">
        <f t="shared" si="5"/>
        <v>3.390627462373093</v>
      </c>
    </row>
    <row r="151" spans="1:8" x14ac:dyDescent="0.3">
      <c r="A151" s="21" t="s">
        <v>318</v>
      </c>
      <c r="B151" s="17" t="s">
        <v>319</v>
      </c>
      <c r="C151" s="17">
        <v>15.02</v>
      </c>
      <c r="D151" s="17">
        <v>-0.22060077502847475</v>
      </c>
      <c r="E151" s="17">
        <v>-5.7029999999999997E-2</v>
      </c>
      <c r="F151" s="17">
        <v>-9.9458941707521316</v>
      </c>
      <c r="G151" t="str">
        <f t="shared" si="4"/>
        <v>5-50</v>
      </c>
      <c r="H151">
        <f t="shared" si="5"/>
        <v>3.4078416485935357</v>
      </c>
    </row>
    <row r="152" spans="1:8" x14ac:dyDescent="0.3">
      <c r="A152" s="20" t="s">
        <v>320</v>
      </c>
      <c r="B152" s="16" t="s">
        <v>321</v>
      </c>
      <c r="C152" s="16">
        <v>0.29928100000000002</v>
      </c>
      <c r="D152" s="16">
        <v>-2.5331040002473739</v>
      </c>
      <c r="E152" s="16">
        <v>-15.039339999999999</v>
      </c>
      <c r="F152" s="16">
        <v>-37.878334906632929</v>
      </c>
      <c r="G152" t="str">
        <f t="shared" si="4"/>
        <v>0.05-0.5</v>
      </c>
      <c r="H152">
        <f t="shared" si="5"/>
        <v>18.4835929689601</v>
      </c>
    </row>
    <row r="153" spans="1:8" x14ac:dyDescent="0.3">
      <c r="A153" s="21" t="s">
        <v>324</v>
      </c>
      <c r="B153" s="17" t="s">
        <v>325</v>
      </c>
      <c r="C153" s="17">
        <v>5.7339000000000001E-2</v>
      </c>
      <c r="D153" s="17">
        <v>-0.62099615639521411</v>
      </c>
      <c r="E153" s="17">
        <v>-1.03667</v>
      </c>
      <c r="F153" s="17">
        <v>-17.662348097408643</v>
      </c>
      <c r="G153" t="str">
        <f t="shared" si="4"/>
        <v>0.05-0.5</v>
      </c>
      <c r="H153">
        <f t="shared" si="5"/>
        <v>6.4400047512679519</v>
      </c>
    </row>
    <row r="154" spans="1:8" x14ac:dyDescent="0.3">
      <c r="A154" s="20" t="s">
        <v>322</v>
      </c>
      <c r="B154" s="16" t="s">
        <v>323</v>
      </c>
      <c r="C154" s="16">
        <v>3.0936399999999999E-3</v>
      </c>
      <c r="D154" s="16">
        <v>-1.566869469016164</v>
      </c>
      <c r="E154" s="16">
        <v>0.97435000000000005</v>
      </c>
      <c r="F154" s="16">
        <v>7.0935045318689358</v>
      </c>
      <c r="G154" t="str">
        <f t="shared" si="4"/>
        <v>0-0.05</v>
      </c>
      <c r="H154">
        <f t="shared" si="5"/>
        <v>3.2115746669617002</v>
      </c>
    </row>
    <row r="155" spans="1:8" x14ac:dyDescent="0.3">
      <c r="A155" s="21" t="s">
        <v>326</v>
      </c>
      <c r="B155" s="17" t="s">
        <v>327</v>
      </c>
      <c r="C155" s="17">
        <v>3.0530000000000001E-5</v>
      </c>
      <c r="D155" s="17">
        <v>-0.87382045024721045</v>
      </c>
      <c r="E155" s="17">
        <v>0.48065999999999998</v>
      </c>
      <c r="F155" s="17">
        <v>-11.261974898690736</v>
      </c>
      <c r="G155" t="str">
        <f t="shared" si="4"/>
        <v>0-0.05</v>
      </c>
      <c r="H155">
        <f t="shared" si="5"/>
        <v>4.2054851163126488</v>
      </c>
    </row>
    <row r="156" spans="1:8" x14ac:dyDescent="0.3">
      <c r="A156" s="20" t="s">
        <v>328</v>
      </c>
      <c r="B156" s="16" t="s">
        <v>329</v>
      </c>
      <c r="C156" s="16">
        <v>3.0067100000000001E-3</v>
      </c>
      <c r="D156" s="16">
        <v>-0.76295536920603702</v>
      </c>
      <c r="E156" s="16">
        <v>5.5182799999999999</v>
      </c>
      <c r="F156" s="16">
        <v>-12.205380530654317</v>
      </c>
      <c r="G156" t="str">
        <f t="shared" si="4"/>
        <v>0-0.05</v>
      </c>
      <c r="H156">
        <f t="shared" si="5"/>
        <v>6.1622052999534516</v>
      </c>
    </row>
    <row r="157" spans="1:8" x14ac:dyDescent="0.3">
      <c r="A157" s="21" t="s">
        <v>330</v>
      </c>
      <c r="B157" s="17" t="s">
        <v>331</v>
      </c>
      <c r="C157" s="17">
        <v>1.0009999999999999</v>
      </c>
      <c r="D157" s="17">
        <v>0.21034617415088672</v>
      </c>
      <c r="E157" s="17">
        <v>3.388E-2</v>
      </c>
      <c r="F157" s="17">
        <v>0.11429374486665274</v>
      </c>
      <c r="G157" t="str">
        <f t="shared" si="4"/>
        <v>0.5-5</v>
      </c>
      <c r="H157">
        <f t="shared" si="5"/>
        <v>0.11950663967251314</v>
      </c>
    </row>
    <row r="158" spans="1:8" x14ac:dyDescent="0.3">
      <c r="A158" s="20" t="s">
        <v>332</v>
      </c>
      <c r="B158" s="16" t="s">
        <v>333</v>
      </c>
      <c r="C158" s="16">
        <v>5.7455800000000001E-3</v>
      </c>
      <c r="D158" s="16">
        <v>0.51490637960545893</v>
      </c>
      <c r="E158" s="16">
        <v>1.5097400000000001</v>
      </c>
      <c r="F158" s="16">
        <v>-10.697854003804467</v>
      </c>
      <c r="G158" t="str">
        <f t="shared" si="4"/>
        <v>0-0.05</v>
      </c>
      <c r="H158">
        <f t="shared" si="5"/>
        <v>4.2408334611366421</v>
      </c>
    </row>
    <row r="159" spans="1:8" x14ac:dyDescent="0.3">
      <c r="A159" s="21" t="s">
        <v>334</v>
      </c>
      <c r="B159" s="17" t="s">
        <v>335</v>
      </c>
      <c r="C159" s="17">
        <v>18.95</v>
      </c>
      <c r="D159" s="17">
        <v>-0.3268767367031214</v>
      </c>
      <c r="E159" s="17">
        <v>0.39419999999999999</v>
      </c>
      <c r="F159" s="17">
        <v>-2.9082326279936401</v>
      </c>
      <c r="G159" t="str">
        <f t="shared" si="4"/>
        <v>5-50</v>
      </c>
      <c r="H159">
        <f t="shared" si="5"/>
        <v>1.209769788232254</v>
      </c>
    </row>
    <row r="160" spans="1:8" x14ac:dyDescent="0.3">
      <c r="A160" s="20" t="s">
        <v>336</v>
      </c>
      <c r="B160" s="16" t="s">
        <v>337</v>
      </c>
      <c r="C160" s="16">
        <v>75.13</v>
      </c>
      <c r="D160" s="16">
        <v>0.10604256576576972</v>
      </c>
      <c r="E160" s="16">
        <v>-0.33883999999999997</v>
      </c>
      <c r="F160" s="16">
        <v>-14.245363147709414</v>
      </c>
      <c r="G160" t="str">
        <f t="shared" si="4"/>
        <v>&gt;50</v>
      </c>
      <c r="H160">
        <f t="shared" si="5"/>
        <v>4.8967485711583949</v>
      </c>
    </row>
    <row r="161" spans="1:8" x14ac:dyDescent="0.3">
      <c r="A161" s="21" t="s">
        <v>338</v>
      </c>
      <c r="B161" s="17" t="s">
        <v>339</v>
      </c>
      <c r="C161" s="17">
        <v>2.8398599999999999E-7</v>
      </c>
      <c r="D161" s="17">
        <v>-1.1642310509314393</v>
      </c>
      <c r="E161" s="17">
        <v>0.20669999999999999</v>
      </c>
      <c r="F161" s="17">
        <v>-6.1047753860788738</v>
      </c>
      <c r="G161" t="str">
        <f t="shared" si="4"/>
        <v>0-0.05</v>
      </c>
      <c r="H161">
        <f t="shared" si="5"/>
        <v>2.4919021456701045</v>
      </c>
    </row>
    <row r="162" spans="1:8" x14ac:dyDescent="0.3">
      <c r="A162" s="20" t="s">
        <v>340</v>
      </c>
      <c r="B162" s="16" t="s">
        <v>341</v>
      </c>
      <c r="C162" s="16">
        <v>4.4382959999999999E-2</v>
      </c>
      <c r="D162" s="16">
        <v>0.20048364614252021</v>
      </c>
      <c r="E162" s="16">
        <v>4.7800099999999999</v>
      </c>
      <c r="F162" s="16">
        <v>-3.2606585606958194</v>
      </c>
      <c r="G162" t="str">
        <f t="shared" si="4"/>
        <v>0-0.05</v>
      </c>
      <c r="H162">
        <f t="shared" si="5"/>
        <v>2.7470507356127798</v>
      </c>
    </row>
    <row r="163" spans="1:8" x14ac:dyDescent="0.3">
      <c r="A163" s="21" t="s">
        <v>342</v>
      </c>
      <c r="B163" s="17" t="s">
        <v>343</v>
      </c>
      <c r="C163" s="17">
        <v>0.129576</v>
      </c>
      <c r="D163" s="17">
        <v>-0.4436143850960757</v>
      </c>
      <c r="E163" s="17">
        <v>1.76119</v>
      </c>
      <c r="F163" s="17">
        <v>-11.350403958743991</v>
      </c>
      <c r="G163" t="str">
        <f t="shared" si="4"/>
        <v>0.05-0.5</v>
      </c>
      <c r="H163">
        <f t="shared" si="5"/>
        <v>4.518402781280022</v>
      </c>
    </row>
    <row r="164" spans="1:8" x14ac:dyDescent="0.3">
      <c r="A164" s="20" t="s">
        <v>344</v>
      </c>
      <c r="B164" s="16" t="s">
        <v>345</v>
      </c>
      <c r="C164" s="16">
        <v>2.54243E-2</v>
      </c>
      <c r="D164" s="16">
        <v>-0.91393210402664038</v>
      </c>
      <c r="E164" s="16">
        <v>1.8640000000000001</v>
      </c>
      <c r="F164" s="16">
        <v>-8.6517544593618911</v>
      </c>
      <c r="G164" t="str">
        <f t="shared" si="4"/>
        <v>0-0.05</v>
      </c>
      <c r="H164">
        <f t="shared" si="5"/>
        <v>3.8098955211295107</v>
      </c>
    </row>
    <row r="165" spans="1:8" x14ac:dyDescent="0.3">
      <c r="A165" s="21" t="s">
        <v>346</v>
      </c>
      <c r="B165" s="17" t="s">
        <v>347</v>
      </c>
      <c r="C165" s="17">
        <v>0.99280000000000002</v>
      </c>
      <c r="D165" s="17">
        <v>-3.0696287601369623E-2</v>
      </c>
      <c r="E165" s="17">
        <v>4.1509999999999998E-2</v>
      </c>
      <c r="F165" s="17">
        <v>-0.102892882369164</v>
      </c>
      <c r="G165" t="str">
        <f t="shared" si="4"/>
        <v>0.5-5</v>
      </c>
      <c r="H165">
        <f t="shared" si="5"/>
        <v>5.8366389990177875E-2</v>
      </c>
    </row>
    <row r="166" spans="1:8" x14ac:dyDescent="0.3">
      <c r="A166" s="20" t="s">
        <v>348</v>
      </c>
      <c r="B166" s="16" t="s">
        <v>349</v>
      </c>
      <c r="C166" s="16">
        <v>0.124293</v>
      </c>
      <c r="D166" s="16">
        <v>-0.66415224522006822</v>
      </c>
      <c r="E166" s="16">
        <v>-4.2963399999999998</v>
      </c>
      <c r="F166" s="16">
        <v>-3.2959189944189551</v>
      </c>
      <c r="G166" t="str">
        <f t="shared" si="4"/>
        <v>0.05-0.5</v>
      </c>
      <c r="H166">
        <f t="shared" si="5"/>
        <v>2.7521370798796743</v>
      </c>
    </row>
    <row r="167" spans="1:8" x14ac:dyDescent="0.3">
      <c r="A167" s="21" t="s">
        <v>352</v>
      </c>
      <c r="B167" s="17" t="s">
        <v>353</v>
      </c>
      <c r="C167" s="17">
        <v>6.31</v>
      </c>
      <c r="D167" s="17">
        <v>-0.40392273980911308</v>
      </c>
      <c r="E167" s="17">
        <v>1.02474</v>
      </c>
      <c r="F167" s="17">
        <v>-8.5493844588959327</v>
      </c>
      <c r="G167" t="str">
        <f t="shared" si="4"/>
        <v>5-50</v>
      </c>
      <c r="H167">
        <f t="shared" si="5"/>
        <v>3.326015732901682</v>
      </c>
    </row>
    <row r="168" spans="1:8" x14ac:dyDescent="0.3">
      <c r="A168" s="20" t="s">
        <v>350</v>
      </c>
      <c r="B168" s="16" t="s">
        <v>351</v>
      </c>
      <c r="C168" s="16">
        <v>0.101539</v>
      </c>
      <c r="D168" s="16">
        <v>-2.2438954959968607</v>
      </c>
      <c r="E168" s="16">
        <v>-18.73434</v>
      </c>
      <c r="F168" s="16">
        <v>-50.862414168605994</v>
      </c>
      <c r="G168" t="str">
        <f t="shared" si="4"/>
        <v>0.05-0.5</v>
      </c>
      <c r="H168">
        <f t="shared" si="5"/>
        <v>23.946883221534282</v>
      </c>
    </row>
    <row r="169" spans="1:8" x14ac:dyDescent="0.3">
      <c r="A169" s="21" t="s">
        <v>354</v>
      </c>
      <c r="B169" s="17" t="s">
        <v>355</v>
      </c>
      <c r="C169" s="17">
        <v>5.6327000000000002E-2</v>
      </c>
      <c r="D169" s="17">
        <v>-0.43209859983376631</v>
      </c>
      <c r="E169" s="17">
        <v>0.40656999999999999</v>
      </c>
      <c r="F169" s="17">
        <v>-6.207528963308147</v>
      </c>
      <c r="G169" t="str">
        <f t="shared" si="4"/>
        <v>0.05-0.5</v>
      </c>
      <c r="H169">
        <f t="shared" si="5"/>
        <v>2.3487325210473045</v>
      </c>
    </row>
    <row r="170" spans="1:8" x14ac:dyDescent="0.3">
      <c r="A170" s="20" t="s">
        <v>356</v>
      </c>
      <c r="B170" s="16" t="s">
        <v>357</v>
      </c>
      <c r="C170" s="16">
        <v>0.99952300000000005</v>
      </c>
      <c r="D170" s="16">
        <v>-2.481104511874424E-2</v>
      </c>
      <c r="E170" s="16">
        <v>-9.9699999999999997E-3</v>
      </c>
      <c r="F170" s="16">
        <v>-1.3818904547403223E-2</v>
      </c>
      <c r="G170" t="str">
        <f t="shared" si="4"/>
        <v>0.5-5</v>
      </c>
      <c r="H170">
        <f t="shared" si="5"/>
        <v>1.6199983222049155E-2</v>
      </c>
    </row>
    <row r="171" spans="1:8" x14ac:dyDescent="0.3">
      <c r="A171" s="21" t="s">
        <v>358</v>
      </c>
      <c r="B171" s="17" t="s">
        <v>359</v>
      </c>
      <c r="C171" s="17">
        <v>0.99802999999999997</v>
      </c>
      <c r="D171" s="17">
        <v>-0.12642839999330224</v>
      </c>
      <c r="E171" s="17">
        <v>-1.384E-2</v>
      </c>
      <c r="F171" s="17">
        <v>-0.24888000344354305</v>
      </c>
      <c r="G171" t="str">
        <f t="shared" si="4"/>
        <v>0.5-5</v>
      </c>
      <c r="H171">
        <f t="shared" si="5"/>
        <v>0.12971613447894845</v>
      </c>
    </row>
    <row r="172" spans="1:8" x14ac:dyDescent="0.3">
      <c r="A172" s="20" t="s">
        <v>360</v>
      </c>
      <c r="B172" s="16" t="s">
        <v>361</v>
      </c>
      <c r="C172" s="16">
        <v>1.1400000000000001E-6</v>
      </c>
      <c r="D172" s="16">
        <v>-0.26114304249148512</v>
      </c>
      <c r="E172" s="16">
        <v>3.4689999999999999E-2</v>
      </c>
      <c r="F172" s="16">
        <v>-7.4808556173684577</v>
      </c>
      <c r="G172" t="str">
        <f t="shared" si="4"/>
        <v>0-0.05</v>
      </c>
      <c r="H172">
        <f t="shared" si="5"/>
        <v>2.5922295532866477</v>
      </c>
    </row>
    <row r="173" spans="1:8" x14ac:dyDescent="0.3">
      <c r="A173" s="21" t="s">
        <v>362</v>
      </c>
      <c r="B173" s="17" t="s">
        <v>363</v>
      </c>
      <c r="C173" s="17">
        <v>0.49956499999999998</v>
      </c>
      <c r="D173" s="17">
        <v>-2.6858335023109459</v>
      </c>
      <c r="E173" s="17">
        <v>15.31457</v>
      </c>
      <c r="F173" s="17">
        <v>1.1813689464871238</v>
      </c>
      <c r="G173" t="str">
        <f t="shared" si="4"/>
        <v>0.05-0.5</v>
      </c>
      <c r="H173">
        <f t="shared" si="5"/>
        <v>6.3939241495993562</v>
      </c>
    </row>
    <row r="174" spans="1:8" x14ac:dyDescent="0.3">
      <c r="A174" s="20" t="s">
        <v>364</v>
      </c>
      <c r="B174" s="16" t="s">
        <v>365</v>
      </c>
      <c r="C174" s="16">
        <v>0.20146600000000001</v>
      </c>
      <c r="D174" s="16">
        <v>0.89722200769105975</v>
      </c>
      <c r="E174" s="16">
        <v>-4.54087</v>
      </c>
      <c r="F174" s="16">
        <v>-13.146690994478416</v>
      </c>
      <c r="G174" t="str">
        <f t="shared" si="4"/>
        <v>0.05-0.5</v>
      </c>
      <c r="H174">
        <f t="shared" si="5"/>
        <v>6.1949276673898241</v>
      </c>
    </row>
    <row r="175" spans="1:8" x14ac:dyDescent="0.3">
      <c r="A175" s="21" t="s">
        <v>366</v>
      </c>
      <c r="B175" s="17" t="s">
        <v>367</v>
      </c>
      <c r="C175" s="17">
        <v>7.1777999999999995E-2</v>
      </c>
      <c r="D175" s="17">
        <v>-0.30284271484074793</v>
      </c>
      <c r="E175" s="17">
        <v>1.11951</v>
      </c>
      <c r="F175" s="17">
        <v>-5.4279615468585494</v>
      </c>
      <c r="G175" t="str">
        <f t="shared" si="4"/>
        <v>0.05-0.5</v>
      </c>
      <c r="H175">
        <f t="shared" si="5"/>
        <v>2.2834380872330993</v>
      </c>
    </row>
    <row r="176" spans="1:8" x14ac:dyDescent="0.3">
      <c r="A176" s="20" t="s">
        <v>368</v>
      </c>
      <c r="B176" s="16" t="s">
        <v>369</v>
      </c>
      <c r="C176" s="16">
        <v>0.77480099999999996</v>
      </c>
      <c r="D176" s="16">
        <v>-1.024241013953004</v>
      </c>
      <c r="E176" s="16">
        <v>1.13148</v>
      </c>
      <c r="F176" s="16">
        <v>-3.6286971212036208</v>
      </c>
      <c r="G176" t="str">
        <f t="shared" si="4"/>
        <v>0.5-5</v>
      </c>
      <c r="H176">
        <f t="shared" si="5"/>
        <v>1.9281393783855414</v>
      </c>
    </row>
    <row r="177" spans="1:8" x14ac:dyDescent="0.3">
      <c r="A177" s="21" t="s">
        <v>370</v>
      </c>
      <c r="B177" s="17" t="s">
        <v>371</v>
      </c>
      <c r="C177" s="17">
        <v>0.99920299999999995</v>
      </c>
      <c r="D177" s="17">
        <v>-2.853099403055992E-2</v>
      </c>
      <c r="E177" s="17">
        <v>2.0559999999999998E-2</v>
      </c>
      <c r="F177" s="17">
        <v>-3.9360063969295839E-2</v>
      </c>
      <c r="G177" t="str">
        <f t="shared" si="4"/>
        <v>0.5-5</v>
      </c>
      <c r="H177">
        <f t="shared" si="5"/>
        <v>2.9483685999951919E-2</v>
      </c>
    </row>
    <row r="178" spans="1:8" x14ac:dyDescent="0.3">
      <c r="A178" s="20" t="s">
        <v>372</v>
      </c>
      <c r="B178" s="16" t="s">
        <v>373</v>
      </c>
      <c r="C178" s="16">
        <v>22.65</v>
      </c>
      <c r="D178" s="16">
        <v>-0.99654263582428237</v>
      </c>
      <c r="E178" s="16">
        <v>-0.27915000000000001</v>
      </c>
      <c r="F178" s="16">
        <v>5.8084946925981366E-2</v>
      </c>
      <c r="G178" t="str">
        <f t="shared" si="4"/>
        <v>5-50</v>
      </c>
      <c r="H178">
        <f t="shared" si="5"/>
        <v>0.44459252758342127</v>
      </c>
    </row>
    <row r="179" spans="1:8" x14ac:dyDescent="0.3">
      <c r="A179" s="21" t="s">
        <v>374</v>
      </c>
      <c r="B179" s="17" t="s">
        <v>375</v>
      </c>
      <c r="C179" s="17">
        <v>8.7041999999999994E-2</v>
      </c>
      <c r="D179" s="17">
        <v>-0.47675133310394902</v>
      </c>
      <c r="E179" s="17">
        <v>4.1123399999999997</v>
      </c>
      <c r="F179" s="17">
        <v>-7.4191204741183556</v>
      </c>
      <c r="G179" t="str">
        <f t="shared" si="4"/>
        <v>0.05-0.5</v>
      </c>
      <c r="H179">
        <f t="shared" si="5"/>
        <v>4.0027372690741014</v>
      </c>
    </row>
    <row r="180" spans="1:8" x14ac:dyDescent="0.3">
      <c r="A180" s="20" t="s">
        <v>376</v>
      </c>
      <c r="B180" s="16" t="s">
        <v>377</v>
      </c>
      <c r="C180" s="16">
        <v>0.98303700000000005</v>
      </c>
      <c r="D180" s="16"/>
      <c r="E180" s="16"/>
      <c r="F180" s="16">
        <v>-4.7730769083253341E-2</v>
      </c>
      <c r="G180" t="str">
        <f t="shared" si="4"/>
        <v>0.5-5</v>
      </c>
      <c r="H180">
        <f t="shared" si="5"/>
        <v>1.5910256361084448E-2</v>
      </c>
    </row>
    <row r="181" spans="1:8" x14ac:dyDescent="0.3">
      <c r="A181" s="21" t="s">
        <v>378</v>
      </c>
      <c r="B181" s="17" t="s">
        <v>379</v>
      </c>
      <c r="C181" s="17">
        <v>9.035E-2</v>
      </c>
      <c r="D181" s="17">
        <v>-8.1519674093067152E-2</v>
      </c>
      <c r="E181" s="17">
        <v>2.7307199999999998</v>
      </c>
      <c r="F181" s="17">
        <v>13.139190647468006</v>
      </c>
      <c r="G181" t="str">
        <f t="shared" si="4"/>
        <v>0.05-0.5</v>
      </c>
      <c r="H181">
        <f t="shared" si="5"/>
        <v>5.3171434405203577</v>
      </c>
    </row>
    <row r="182" spans="1:8" x14ac:dyDescent="0.3">
      <c r="A182" s="20" t="s">
        <v>380</v>
      </c>
      <c r="B182" s="16" t="s">
        <v>381</v>
      </c>
      <c r="C182" s="16">
        <v>1.2</v>
      </c>
      <c r="D182" s="16">
        <v>-0.42772206487220499</v>
      </c>
      <c r="E182" s="16">
        <v>0.2586</v>
      </c>
      <c r="F182" s="16">
        <v>-4.5043337213582637</v>
      </c>
      <c r="G182" t="str">
        <f t="shared" si="4"/>
        <v>0.5-5</v>
      </c>
      <c r="H182">
        <f t="shared" si="5"/>
        <v>1.7302185954101563</v>
      </c>
    </row>
    <row r="183" spans="1:8" x14ac:dyDescent="0.3">
      <c r="A183" s="21" t="s">
        <v>384</v>
      </c>
      <c r="B183" s="17" t="s">
        <v>385</v>
      </c>
      <c r="C183" s="17">
        <v>0.93042400000000003</v>
      </c>
      <c r="D183" s="17">
        <v>-0.79547780202328666</v>
      </c>
      <c r="E183" s="17">
        <v>15.293100000000001</v>
      </c>
      <c r="F183" s="17">
        <v>129.29528660678614</v>
      </c>
      <c r="G183" t="str">
        <f t="shared" si="4"/>
        <v>0.5-5</v>
      </c>
      <c r="H183">
        <f t="shared" si="5"/>
        <v>48.461288136269808</v>
      </c>
    </row>
    <row r="184" spans="1:8" x14ac:dyDescent="0.3">
      <c r="A184" s="20" t="s">
        <v>382</v>
      </c>
      <c r="B184" s="16" t="s">
        <v>383</v>
      </c>
      <c r="C184" s="16">
        <v>0.76845799999999997</v>
      </c>
      <c r="D184" s="16">
        <v>-0.90660798781897445</v>
      </c>
      <c r="E184" s="16">
        <v>3.5968499999999999</v>
      </c>
      <c r="F184" s="16">
        <v>-1.0844685199332689</v>
      </c>
      <c r="G184" t="str">
        <f t="shared" si="4"/>
        <v>0.5-5</v>
      </c>
      <c r="H184">
        <f t="shared" si="5"/>
        <v>1.8626421692507478</v>
      </c>
    </row>
    <row r="185" spans="1:8" x14ac:dyDescent="0.3">
      <c r="A185" s="21" t="s">
        <v>390</v>
      </c>
      <c r="B185" s="17" t="s">
        <v>391</v>
      </c>
      <c r="C185" s="17">
        <v>2.89</v>
      </c>
      <c r="D185" s="17">
        <v>-0.16260815431483883</v>
      </c>
      <c r="E185" s="17">
        <v>1.1685099999999999</v>
      </c>
      <c r="F185" s="17">
        <v>-7.2877599562878173</v>
      </c>
      <c r="G185" t="str">
        <f t="shared" si="4"/>
        <v>0.5-5</v>
      </c>
      <c r="H185">
        <f t="shared" si="5"/>
        <v>2.8729593702008853</v>
      </c>
    </row>
    <row r="186" spans="1:8" x14ac:dyDescent="0.3">
      <c r="A186" s="20" t="s">
        <v>386</v>
      </c>
      <c r="B186" s="16" t="s">
        <v>387</v>
      </c>
      <c r="C186" s="16">
        <v>0.34782600000000002</v>
      </c>
      <c r="D186" s="16">
        <v>-0.5038008278453715</v>
      </c>
      <c r="E186" s="16">
        <v>16.126799999999999</v>
      </c>
      <c r="F186" s="16">
        <v>5.0957629691004964</v>
      </c>
      <c r="G186" t="str">
        <f t="shared" si="4"/>
        <v>0.05-0.5</v>
      </c>
      <c r="H186">
        <f t="shared" si="5"/>
        <v>7.2421212656486231</v>
      </c>
    </row>
    <row r="187" spans="1:8" x14ac:dyDescent="0.3">
      <c r="A187" s="21" t="s">
        <v>388</v>
      </c>
      <c r="B187" s="17" t="s">
        <v>389</v>
      </c>
      <c r="C187" s="17">
        <v>0.203241</v>
      </c>
      <c r="D187" s="17">
        <v>-0.87453888258106072</v>
      </c>
      <c r="E187" s="17">
        <v>2.0936900000000001</v>
      </c>
      <c r="F187" s="17">
        <v>-7.6419899559162312</v>
      </c>
      <c r="G187" t="str">
        <f t="shared" si="4"/>
        <v>0.05-0.5</v>
      </c>
      <c r="H187">
        <f t="shared" si="5"/>
        <v>3.5367396128324309</v>
      </c>
    </row>
    <row r="188" spans="1:8" ht="28.8" x14ac:dyDescent="0.3">
      <c r="A188" s="20" t="s">
        <v>392</v>
      </c>
      <c r="B188" s="16" t="s">
        <v>393</v>
      </c>
      <c r="C188" s="16">
        <v>1</v>
      </c>
      <c r="D188" s="16">
        <v>0</v>
      </c>
      <c r="E188" s="16">
        <v>0</v>
      </c>
      <c r="F188" s="16">
        <v>0</v>
      </c>
      <c r="G188" t="str">
        <f t="shared" si="4"/>
        <v>0.5-5</v>
      </c>
      <c r="H188">
        <f t="shared" si="5"/>
        <v>0</v>
      </c>
    </row>
    <row r="189" spans="1:8" x14ac:dyDescent="0.3">
      <c r="A189" s="21" t="s">
        <v>394</v>
      </c>
      <c r="B189" s="17" t="s">
        <v>395</v>
      </c>
      <c r="C189" s="17">
        <v>0.74696399999999996</v>
      </c>
      <c r="D189" s="17">
        <v>0.57632346678547186</v>
      </c>
      <c r="E189" s="17">
        <v>2.0979000000000001</v>
      </c>
      <c r="F189" s="17">
        <v>-28.694899713132511</v>
      </c>
      <c r="G189" t="str">
        <f t="shared" si="4"/>
        <v>0.5-5</v>
      </c>
      <c r="H189">
        <f t="shared" si="5"/>
        <v>10.456374393305994</v>
      </c>
    </row>
    <row r="190" spans="1:8" x14ac:dyDescent="0.3">
      <c r="A190" s="20" t="s">
        <v>404</v>
      </c>
      <c r="B190" s="16" t="s">
        <v>405</v>
      </c>
      <c r="C190" s="16">
        <v>8.1731999999999999E-2</v>
      </c>
      <c r="D190" s="16">
        <v>2.053190169349949</v>
      </c>
      <c r="E190" s="16">
        <v>-27.224499999999999</v>
      </c>
      <c r="F190" s="16">
        <v>-51.941091670988307</v>
      </c>
      <c r="G190" t="str">
        <f t="shared" si="4"/>
        <v>0.05-0.5</v>
      </c>
      <c r="H190">
        <f t="shared" si="5"/>
        <v>27.072927280112751</v>
      </c>
    </row>
    <row r="191" spans="1:8" x14ac:dyDescent="0.3">
      <c r="A191" s="21" t="s">
        <v>396</v>
      </c>
      <c r="B191" s="17" t="s">
        <v>397</v>
      </c>
      <c r="C191" s="17">
        <v>0.19622300000000001</v>
      </c>
      <c r="D191" s="17">
        <v>-0.53044355158678147</v>
      </c>
      <c r="E191" s="17">
        <v>1.8666</v>
      </c>
      <c r="F191" s="17">
        <v>-9.0071225599279394</v>
      </c>
      <c r="G191" t="str">
        <f t="shared" si="4"/>
        <v>0.05-0.5</v>
      </c>
      <c r="H191">
        <f t="shared" si="5"/>
        <v>3.8013887038382403</v>
      </c>
    </row>
    <row r="192" spans="1:8" x14ac:dyDescent="0.3">
      <c r="A192" s="20" t="s">
        <v>398</v>
      </c>
      <c r="B192" s="16" t="s">
        <v>399</v>
      </c>
      <c r="C192" s="16">
        <v>0.439969</v>
      </c>
      <c r="D192" s="16">
        <v>-3.6650378254042031</v>
      </c>
      <c r="E192" s="16">
        <v>-0.79961000000000004</v>
      </c>
      <c r="F192" s="16">
        <v>29.372409048940156</v>
      </c>
      <c r="G192" t="str">
        <f t="shared" si="4"/>
        <v>0.05-0.5</v>
      </c>
      <c r="H192">
        <f t="shared" si="5"/>
        <v>11.279018958114785</v>
      </c>
    </row>
    <row r="193" spans="1:8" x14ac:dyDescent="0.3">
      <c r="A193" s="21" t="s">
        <v>402</v>
      </c>
      <c r="B193" s="17" t="s">
        <v>403</v>
      </c>
      <c r="C193" s="17">
        <v>7.2418999999999997E-2</v>
      </c>
      <c r="D193" s="17">
        <v>-0.38325574458021366</v>
      </c>
      <c r="E193" s="17">
        <v>1.44208</v>
      </c>
      <c r="F193" s="17">
        <v>-6.1037682714714938</v>
      </c>
      <c r="G193" t="str">
        <f t="shared" si="4"/>
        <v>0.05-0.5</v>
      </c>
      <c r="H193">
        <f t="shared" si="5"/>
        <v>2.6430346720172357</v>
      </c>
    </row>
    <row r="194" spans="1:8" x14ac:dyDescent="0.3">
      <c r="A194" s="20" t="s">
        <v>400</v>
      </c>
      <c r="B194" s="16" t="s">
        <v>401</v>
      </c>
      <c r="C194" s="16">
        <v>0.46341100000000002</v>
      </c>
      <c r="D194" s="16">
        <v>-1.0515680697051739</v>
      </c>
      <c r="E194" s="16">
        <v>0.45784999999999998</v>
      </c>
      <c r="F194" s="16">
        <v>-8.0751598844182162</v>
      </c>
      <c r="G194" t="str">
        <f t="shared" si="4"/>
        <v>0.05-0.5</v>
      </c>
      <c r="H194">
        <f t="shared" si="5"/>
        <v>3.19485931804113</v>
      </c>
    </row>
    <row r="195" spans="1:8" x14ac:dyDescent="0.3">
      <c r="A195" s="21" t="s">
        <v>406</v>
      </c>
      <c r="B195" s="17" t="s">
        <v>407</v>
      </c>
      <c r="C195" s="17">
        <v>0.19168399999999999</v>
      </c>
      <c r="D195" s="17">
        <v>-1.0280060505233499</v>
      </c>
      <c r="E195" s="17">
        <v>3.6236999999999999</v>
      </c>
      <c r="F195" s="17">
        <v>-10.506516801921236</v>
      </c>
      <c r="G195" t="str">
        <f t="shared" ref="G195:G201" si="6">IF(C195&lt;=0.05,"0-0.05",
IF(C195&lt;=0.5,"0.05-0.5",
IF(C195&lt;=5,"0.5-5",
IF(C195&lt;=50,"5-50","&gt;50"))))</f>
        <v>0.05-0.5</v>
      </c>
      <c r="H195">
        <f t="shared" ref="H195:H201" si="7">AVERAGE(ABS(D195),ABS(E195),ABS(F195))</f>
        <v>5.0527409508148624</v>
      </c>
    </row>
    <row r="196" spans="1:8" x14ac:dyDescent="0.3">
      <c r="A196" s="20" t="s">
        <v>408</v>
      </c>
      <c r="B196" s="16" t="s">
        <v>409</v>
      </c>
      <c r="C196" s="16">
        <v>1.51</v>
      </c>
      <c r="D196" s="16">
        <v>-7.0580783258457416E-2</v>
      </c>
      <c r="E196" s="16">
        <v>-0.75931999999999999</v>
      </c>
      <c r="F196" s="16">
        <v>-2.0933953161405063</v>
      </c>
      <c r="G196" t="str">
        <f t="shared" si="6"/>
        <v>0.5-5</v>
      </c>
      <c r="H196">
        <f t="shared" si="7"/>
        <v>0.97443203313298798</v>
      </c>
    </row>
    <row r="197" spans="1:8" x14ac:dyDescent="0.3">
      <c r="A197" s="21" t="s">
        <v>410</v>
      </c>
      <c r="B197" s="17" t="s">
        <v>411</v>
      </c>
      <c r="C197" s="17">
        <v>1.1499999999999999</v>
      </c>
      <c r="D197" s="17">
        <v>-0.48562761328483611</v>
      </c>
      <c r="E197" s="17">
        <v>1.96709</v>
      </c>
      <c r="F197" s="17">
        <v>6.1040954573879143</v>
      </c>
      <c r="G197" t="str">
        <f t="shared" si="6"/>
        <v>0.5-5</v>
      </c>
      <c r="H197">
        <f t="shared" si="7"/>
        <v>2.852271023557583</v>
      </c>
    </row>
    <row r="198" spans="1:8" x14ac:dyDescent="0.3">
      <c r="A198" s="20" t="s">
        <v>412</v>
      </c>
      <c r="B198" s="16" t="s">
        <v>413</v>
      </c>
      <c r="C198" s="16">
        <v>4.7894599999999997E-3</v>
      </c>
      <c r="D198" s="16">
        <v>-8.0085619634541722E-2</v>
      </c>
      <c r="E198" s="16">
        <v>0.52346000000000004</v>
      </c>
      <c r="F198" s="16">
        <v>-4.2133778240596405</v>
      </c>
      <c r="G198" t="str">
        <f t="shared" si="6"/>
        <v>0-0.05</v>
      </c>
      <c r="H198">
        <f t="shared" si="7"/>
        <v>1.6056411478980606</v>
      </c>
    </row>
    <row r="199" spans="1:8" x14ac:dyDescent="0.3">
      <c r="A199" s="21" t="s">
        <v>414</v>
      </c>
      <c r="B199" s="17" t="s">
        <v>415</v>
      </c>
      <c r="C199" s="17">
        <v>1.079</v>
      </c>
      <c r="D199" s="17">
        <v>3.9852367650472558E-4</v>
      </c>
      <c r="E199" s="17">
        <v>2.6919999999999999E-2</v>
      </c>
      <c r="F199" s="17">
        <v>0.19969443738751713</v>
      </c>
      <c r="G199" t="str">
        <f t="shared" si="6"/>
        <v>0.5-5</v>
      </c>
      <c r="H199">
        <f t="shared" si="7"/>
        <v>7.5670987021340619E-2</v>
      </c>
    </row>
    <row r="200" spans="1:8" x14ac:dyDescent="0.3">
      <c r="A200" s="20" t="s">
        <v>416</v>
      </c>
      <c r="B200" s="16" t="s">
        <v>417</v>
      </c>
      <c r="C200" s="16">
        <v>1.36</v>
      </c>
      <c r="D200" s="16">
        <v>-9.2043837236484405E-2</v>
      </c>
      <c r="E200" s="16">
        <v>6.0470000000000003E-2</v>
      </c>
      <c r="F200" s="16">
        <v>0.2432015043838093</v>
      </c>
      <c r="G200" t="str">
        <f t="shared" si="6"/>
        <v>0.5-5</v>
      </c>
      <c r="H200">
        <f t="shared" si="7"/>
        <v>0.13190511387343123</v>
      </c>
    </row>
    <row r="201" spans="1:8" x14ac:dyDescent="0.3">
      <c r="A201" s="21" t="s">
        <v>418</v>
      </c>
      <c r="B201" s="17" t="s">
        <v>419</v>
      </c>
      <c r="C201" s="17">
        <v>1.1000000000000001</v>
      </c>
      <c r="D201" s="17">
        <v>1.199410326652639E-2</v>
      </c>
      <c r="E201" s="17">
        <v>-1.5769999999999999E-2</v>
      </c>
      <c r="F201" s="17">
        <v>0.16971880334998318</v>
      </c>
      <c r="G201" t="str">
        <f t="shared" si="6"/>
        <v>0.5-5</v>
      </c>
      <c r="H201">
        <f t="shared" si="7"/>
        <v>6.5827635538836526E-2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5D0EF5C-6C50-477A-908A-5D2D2517CD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Raw Data</vt:lpstr>
      <vt:lpstr>Clean_Data</vt:lpstr>
      <vt:lpstr>Dashboard_1</vt:lpstr>
      <vt:lpstr>Dashboard_2</vt:lpstr>
      <vt:lpstr>Dashboard_3</vt:lpstr>
      <vt:lpstr>Liquidity_Helper</vt:lpstr>
      <vt:lpstr>Dashboard_4_New</vt:lpstr>
      <vt:lpstr>Task4_Source</vt:lpstr>
      <vt:lpstr>Dashboard_5</vt:lpstr>
      <vt:lpstr>Historical_Helper</vt:lpstr>
      <vt:lpstr>Dashboard_6</vt:lpstr>
      <vt:lpstr>Investment_Helper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tarun tomar</dc:creator>
  <cp:lastModifiedBy>tarun tomar</cp:lastModifiedBy>
  <dcterms:created xsi:type="dcterms:W3CDTF">2026-05-21T09:29:39Z</dcterms:created>
  <dcterms:modified xsi:type="dcterms:W3CDTF">2026-06-09T12:24:47Z</dcterms:modified>
</cp:coreProperties>
</file>