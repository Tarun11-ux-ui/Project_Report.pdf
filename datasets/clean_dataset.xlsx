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308F1E-37E3-4E41-9D53-59B57D7483F6}" xr6:coauthVersionLast="47" xr6:coauthVersionMax="47" xr10:uidLastSave="{00000000-0000-0000-0000-000000000000}"/>
  <bookViews>
    <workbookView xWindow="-108" yWindow="-108" windowWidth="23256" windowHeight="12456" xr2:uid="{CF6663FA-F7A6-43FA-B696-9B4435106EF3}"/>
  </bookViews>
  <sheets>
    <sheet name="Sheet1" sheetId="1" r:id="rId1"/>
  </sheets>
  <definedNames>
    <definedName name="ExternalData_1" localSheetId="0" hidden="1">Sheet1!$A$1:$I$201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1" i="1" l="1"/>
  <c r="Q201" i="1" s="1"/>
  <c r="O201" i="1"/>
  <c r="N201" i="1"/>
  <c r="M201" i="1"/>
  <c r="L201" i="1"/>
  <c r="J201" i="1"/>
  <c r="K201" i="1" s="1"/>
  <c r="Q200" i="1"/>
  <c r="P200" i="1"/>
  <c r="O200" i="1"/>
  <c r="N200" i="1"/>
  <c r="M200" i="1"/>
  <c r="L200" i="1"/>
  <c r="J200" i="1"/>
  <c r="K200" i="1" s="1"/>
  <c r="P199" i="1"/>
  <c r="Q199" i="1" s="1"/>
  <c r="O199" i="1"/>
  <c r="N199" i="1"/>
  <c r="M199" i="1"/>
  <c r="L199" i="1"/>
  <c r="J199" i="1"/>
  <c r="K199" i="1" s="1"/>
  <c r="Q198" i="1"/>
  <c r="P198" i="1"/>
  <c r="O198" i="1"/>
  <c r="N198" i="1"/>
  <c r="M198" i="1"/>
  <c r="L198" i="1"/>
  <c r="J198" i="1"/>
  <c r="K198" i="1" s="1"/>
  <c r="Q197" i="1"/>
  <c r="P197" i="1"/>
  <c r="O197" i="1"/>
  <c r="N197" i="1"/>
  <c r="M197" i="1"/>
  <c r="L197" i="1"/>
  <c r="J197" i="1"/>
  <c r="K197" i="1" s="1"/>
  <c r="P196" i="1"/>
  <c r="Q196" i="1" s="1"/>
  <c r="O196" i="1"/>
  <c r="N196" i="1"/>
  <c r="M196" i="1"/>
  <c r="L196" i="1"/>
  <c r="J196" i="1"/>
  <c r="K196" i="1" s="1"/>
  <c r="Q195" i="1"/>
  <c r="P195" i="1"/>
  <c r="O195" i="1"/>
  <c r="N195" i="1"/>
  <c r="M195" i="1"/>
  <c r="L195" i="1"/>
  <c r="J195" i="1"/>
  <c r="K195" i="1" s="1"/>
  <c r="Q194" i="1"/>
  <c r="P194" i="1"/>
  <c r="O194" i="1"/>
  <c r="N194" i="1"/>
  <c r="M194" i="1"/>
  <c r="L194" i="1"/>
  <c r="J194" i="1"/>
  <c r="K194" i="1" s="1"/>
  <c r="P193" i="1"/>
  <c r="Q193" i="1" s="1"/>
  <c r="O193" i="1"/>
  <c r="N193" i="1"/>
  <c r="M193" i="1"/>
  <c r="L193" i="1"/>
  <c r="J193" i="1"/>
  <c r="K193" i="1" s="1"/>
  <c r="Q192" i="1"/>
  <c r="P192" i="1"/>
  <c r="O192" i="1"/>
  <c r="N192" i="1"/>
  <c r="M192" i="1"/>
  <c r="L192" i="1"/>
  <c r="J192" i="1"/>
  <c r="K192" i="1" s="1"/>
  <c r="Q191" i="1"/>
  <c r="P191" i="1"/>
  <c r="O191" i="1"/>
  <c r="N191" i="1"/>
  <c r="M191" i="1"/>
  <c r="L191" i="1"/>
  <c r="J191" i="1"/>
  <c r="K191" i="1" s="1"/>
  <c r="P190" i="1"/>
  <c r="Q190" i="1" s="1"/>
  <c r="O190" i="1"/>
  <c r="N190" i="1"/>
  <c r="M190" i="1"/>
  <c r="L190" i="1"/>
  <c r="J190" i="1"/>
  <c r="K190" i="1" s="1"/>
  <c r="Q189" i="1"/>
  <c r="P189" i="1"/>
  <c r="O189" i="1"/>
  <c r="N189" i="1"/>
  <c r="M189" i="1"/>
  <c r="L189" i="1"/>
  <c r="J189" i="1"/>
  <c r="K189" i="1" s="1"/>
  <c r="Q188" i="1"/>
  <c r="P188" i="1"/>
  <c r="O188" i="1"/>
  <c r="N188" i="1"/>
  <c r="M188" i="1"/>
  <c r="L188" i="1"/>
  <c r="J188" i="1"/>
  <c r="K188" i="1" s="1"/>
  <c r="P187" i="1"/>
  <c r="Q187" i="1" s="1"/>
  <c r="O187" i="1"/>
  <c r="N187" i="1"/>
  <c r="M187" i="1"/>
  <c r="L187" i="1"/>
  <c r="J187" i="1"/>
  <c r="K187" i="1" s="1"/>
  <c r="Q186" i="1"/>
  <c r="P186" i="1"/>
  <c r="O186" i="1"/>
  <c r="N186" i="1"/>
  <c r="M186" i="1"/>
  <c r="L186" i="1"/>
  <c r="J186" i="1"/>
  <c r="K186" i="1" s="1"/>
  <c r="Q185" i="1"/>
  <c r="P185" i="1"/>
  <c r="O185" i="1"/>
  <c r="N185" i="1"/>
  <c r="M185" i="1"/>
  <c r="L185" i="1"/>
  <c r="J185" i="1"/>
  <c r="K185" i="1" s="1"/>
  <c r="P184" i="1"/>
  <c r="Q184" i="1" s="1"/>
  <c r="O184" i="1"/>
  <c r="N184" i="1"/>
  <c r="M184" i="1"/>
  <c r="L184" i="1"/>
  <c r="J184" i="1"/>
  <c r="K184" i="1" s="1"/>
  <c r="Q183" i="1"/>
  <c r="P183" i="1"/>
  <c r="O183" i="1"/>
  <c r="N183" i="1"/>
  <c r="M183" i="1"/>
  <c r="L183" i="1"/>
  <c r="J183" i="1"/>
  <c r="K183" i="1" s="1"/>
  <c r="Q182" i="1"/>
  <c r="P182" i="1"/>
  <c r="O182" i="1"/>
  <c r="N182" i="1"/>
  <c r="M182" i="1"/>
  <c r="L182" i="1"/>
  <c r="J182" i="1"/>
  <c r="K182" i="1" s="1"/>
  <c r="P181" i="1"/>
  <c r="Q181" i="1" s="1"/>
  <c r="O181" i="1"/>
  <c r="N181" i="1"/>
  <c r="M181" i="1"/>
  <c r="L181" i="1"/>
  <c r="J181" i="1"/>
  <c r="K181" i="1" s="1"/>
  <c r="Q180" i="1"/>
  <c r="P180" i="1"/>
  <c r="O180" i="1"/>
  <c r="N180" i="1"/>
  <c r="M180" i="1"/>
  <c r="L180" i="1"/>
  <c r="J180" i="1"/>
  <c r="K180" i="1" s="1"/>
  <c r="Q179" i="1"/>
  <c r="P179" i="1"/>
  <c r="O179" i="1"/>
  <c r="N179" i="1"/>
  <c r="M179" i="1"/>
  <c r="L179" i="1"/>
  <c r="J179" i="1"/>
  <c r="K179" i="1" s="1"/>
  <c r="P178" i="1"/>
  <c r="Q178" i="1" s="1"/>
  <c r="O178" i="1"/>
  <c r="N178" i="1"/>
  <c r="M178" i="1"/>
  <c r="L178" i="1"/>
  <c r="J178" i="1"/>
  <c r="K178" i="1" s="1"/>
  <c r="Q177" i="1"/>
  <c r="P177" i="1"/>
  <c r="O177" i="1"/>
  <c r="N177" i="1"/>
  <c r="M177" i="1"/>
  <c r="L177" i="1"/>
  <c r="J177" i="1"/>
  <c r="K177" i="1" s="1"/>
  <c r="Q176" i="1"/>
  <c r="P176" i="1"/>
  <c r="O176" i="1"/>
  <c r="N176" i="1"/>
  <c r="M176" i="1"/>
  <c r="L176" i="1"/>
  <c r="J176" i="1"/>
  <c r="K176" i="1" s="1"/>
  <c r="P175" i="1"/>
  <c r="Q175" i="1" s="1"/>
  <c r="O175" i="1"/>
  <c r="N175" i="1"/>
  <c r="M175" i="1"/>
  <c r="L175" i="1"/>
  <c r="J175" i="1"/>
  <c r="K175" i="1" s="1"/>
  <c r="Q174" i="1"/>
  <c r="P174" i="1"/>
  <c r="O174" i="1"/>
  <c r="N174" i="1"/>
  <c r="M174" i="1"/>
  <c r="L174" i="1"/>
  <c r="J174" i="1"/>
  <c r="K174" i="1" s="1"/>
  <c r="Q173" i="1"/>
  <c r="P173" i="1"/>
  <c r="O173" i="1"/>
  <c r="N173" i="1"/>
  <c r="M173" i="1"/>
  <c r="L173" i="1"/>
  <c r="J173" i="1"/>
  <c r="K173" i="1" s="1"/>
  <c r="P172" i="1"/>
  <c r="Q172" i="1" s="1"/>
  <c r="O172" i="1"/>
  <c r="N172" i="1"/>
  <c r="M172" i="1"/>
  <c r="L172" i="1"/>
  <c r="J172" i="1"/>
  <c r="K172" i="1" s="1"/>
  <c r="Q171" i="1"/>
  <c r="P171" i="1"/>
  <c r="O171" i="1"/>
  <c r="N171" i="1"/>
  <c r="M171" i="1"/>
  <c r="L171" i="1"/>
  <c r="J171" i="1"/>
  <c r="K171" i="1" s="1"/>
  <c r="Q170" i="1"/>
  <c r="P170" i="1"/>
  <c r="O170" i="1"/>
  <c r="N170" i="1"/>
  <c r="M170" i="1"/>
  <c r="L170" i="1"/>
  <c r="J170" i="1"/>
  <c r="K170" i="1" s="1"/>
  <c r="P169" i="1"/>
  <c r="Q169" i="1" s="1"/>
  <c r="O169" i="1"/>
  <c r="N169" i="1"/>
  <c r="M169" i="1"/>
  <c r="L169" i="1"/>
  <c r="J169" i="1"/>
  <c r="K169" i="1" s="1"/>
  <c r="Q168" i="1"/>
  <c r="P168" i="1"/>
  <c r="O168" i="1"/>
  <c r="N168" i="1"/>
  <c r="M168" i="1"/>
  <c r="L168" i="1"/>
  <c r="J168" i="1"/>
  <c r="K168" i="1" s="1"/>
  <c r="Q167" i="1"/>
  <c r="P167" i="1"/>
  <c r="O167" i="1"/>
  <c r="N167" i="1"/>
  <c r="M167" i="1"/>
  <c r="L167" i="1"/>
  <c r="J167" i="1"/>
  <c r="K167" i="1" s="1"/>
  <c r="P166" i="1"/>
  <c r="Q166" i="1" s="1"/>
  <c r="O166" i="1"/>
  <c r="N166" i="1"/>
  <c r="M166" i="1"/>
  <c r="L166" i="1"/>
  <c r="J166" i="1"/>
  <c r="K166" i="1" s="1"/>
  <c r="Q165" i="1"/>
  <c r="P165" i="1"/>
  <c r="O165" i="1"/>
  <c r="N165" i="1"/>
  <c r="M165" i="1"/>
  <c r="L165" i="1"/>
  <c r="J165" i="1"/>
  <c r="K165" i="1" s="1"/>
  <c r="Q164" i="1"/>
  <c r="P164" i="1"/>
  <c r="O164" i="1"/>
  <c r="N164" i="1"/>
  <c r="M164" i="1"/>
  <c r="L164" i="1"/>
  <c r="J164" i="1"/>
  <c r="K164" i="1" s="1"/>
  <c r="P163" i="1"/>
  <c r="Q163" i="1" s="1"/>
  <c r="O163" i="1"/>
  <c r="N163" i="1"/>
  <c r="M163" i="1"/>
  <c r="L163" i="1"/>
  <c r="J163" i="1"/>
  <c r="K163" i="1" s="1"/>
  <c r="Q162" i="1"/>
  <c r="P162" i="1"/>
  <c r="O162" i="1"/>
  <c r="N162" i="1"/>
  <c r="M162" i="1"/>
  <c r="L162" i="1"/>
  <c r="J162" i="1"/>
  <c r="K162" i="1" s="1"/>
  <c r="Q161" i="1"/>
  <c r="P161" i="1"/>
  <c r="O161" i="1"/>
  <c r="N161" i="1"/>
  <c r="M161" i="1"/>
  <c r="L161" i="1"/>
  <c r="J161" i="1"/>
  <c r="K161" i="1" s="1"/>
  <c r="P160" i="1"/>
  <c r="Q160" i="1" s="1"/>
  <c r="O160" i="1"/>
  <c r="N160" i="1"/>
  <c r="M160" i="1"/>
  <c r="L160" i="1"/>
  <c r="J160" i="1"/>
  <c r="K160" i="1" s="1"/>
  <c r="Q159" i="1"/>
  <c r="P159" i="1"/>
  <c r="O159" i="1"/>
  <c r="N159" i="1"/>
  <c r="M159" i="1"/>
  <c r="L159" i="1"/>
  <c r="J159" i="1"/>
  <c r="K159" i="1" s="1"/>
  <c r="Q158" i="1"/>
  <c r="P158" i="1"/>
  <c r="O158" i="1"/>
  <c r="N158" i="1"/>
  <c r="M158" i="1"/>
  <c r="L158" i="1"/>
  <c r="J158" i="1"/>
  <c r="K158" i="1" s="1"/>
  <c r="P157" i="1"/>
  <c r="Q157" i="1" s="1"/>
  <c r="O157" i="1"/>
  <c r="N157" i="1"/>
  <c r="M157" i="1"/>
  <c r="L157" i="1"/>
  <c r="J157" i="1"/>
  <c r="K157" i="1" s="1"/>
  <c r="Q156" i="1"/>
  <c r="P156" i="1"/>
  <c r="O156" i="1"/>
  <c r="N156" i="1"/>
  <c r="M156" i="1"/>
  <c r="L156" i="1"/>
  <c r="J156" i="1"/>
  <c r="K156" i="1" s="1"/>
  <c r="Q155" i="1"/>
  <c r="P155" i="1"/>
  <c r="O155" i="1"/>
  <c r="N155" i="1"/>
  <c r="M155" i="1"/>
  <c r="L155" i="1"/>
  <c r="J155" i="1"/>
  <c r="K155" i="1" s="1"/>
  <c r="P154" i="1"/>
  <c r="Q154" i="1" s="1"/>
  <c r="O154" i="1"/>
  <c r="N154" i="1"/>
  <c r="M154" i="1"/>
  <c r="L154" i="1"/>
  <c r="J154" i="1"/>
  <c r="K154" i="1" s="1"/>
  <c r="Q153" i="1"/>
  <c r="P153" i="1"/>
  <c r="O153" i="1"/>
  <c r="N153" i="1"/>
  <c r="M153" i="1"/>
  <c r="L153" i="1"/>
  <c r="J153" i="1"/>
  <c r="K153" i="1" s="1"/>
  <c r="Q152" i="1"/>
  <c r="P152" i="1"/>
  <c r="O152" i="1"/>
  <c r="N152" i="1"/>
  <c r="M152" i="1"/>
  <c r="L152" i="1"/>
  <c r="J152" i="1"/>
  <c r="K152" i="1" s="1"/>
  <c r="P151" i="1"/>
  <c r="Q151" i="1" s="1"/>
  <c r="O151" i="1"/>
  <c r="N151" i="1"/>
  <c r="M151" i="1"/>
  <c r="L151" i="1"/>
  <c r="J151" i="1"/>
  <c r="K151" i="1" s="1"/>
  <c r="Q150" i="1"/>
  <c r="P150" i="1"/>
  <c r="O150" i="1"/>
  <c r="N150" i="1"/>
  <c r="M150" i="1"/>
  <c r="L150" i="1"/>
  <c r="J150" i="1"/>
  <c r="K150" i="1" s="1"/>
  <c r="Q149" i="1"/>
  <c r="P149" i="1"/>
  <c r="O149" i="1"/>
  <c r="N149" i="1"/>
  <c r="M149" i="1"/>
  <c r="L149" i="1"/>
  <c r="J149" i="1"/>
  <c r="K149" i="1" s="1"/>
  <c r="P148" i="1"/>
  <c r="Q148" i="1" s="1"/>
  <c r="O148" i="1"/>
  <c r="N148" i="1"/>
  <c r="M148" i="1"/>
  <c r="L148" i="1"/>
  <c r="J148" i="1"/>
  <c r="K148" i="1" s="1"/>
  <c r="Q147" i="1"/>
  <c r="P147" i="1"/>
  <c r="O147" i="1"/>
  <c r="N147" i="1"/>
  <c r="M147" i="1"/>
  <c r="L147" i="1"/>
  <c r="J147" i="1"/>
  <c r="K147" i="1" s="1"/>
  <c r="Q146" i="1"/>
  <c r="P146" i="1"/>
  <c r="O146" i="1"/>
  <c r="N146" i="1"/>
  <c r="M146" i="1"/>
  <c r="L146" i="1"/>
  <c r="J146" i="1"/>
  <c r="K146" i="1" s="1"/>
  <c r="P145" i="1"/>
  <c r="Q145" i="1" s="1"/>
  <c r="O145" i="1"/>
  <c r="N145" i="1"/>
  <c r="M145" i="1"/>
  <c r="L145" i="1"/>
  <c r="J145" i="1"/>
  <c r="K145" i="1" s="1"/>
  <c r="Q144" i="1"/>
  <c r="P144" i="1"/>
  <c r="O144" i="1"/>
  <c r="N144" i="1"/>
  <c r="M144" i="1"/>
  <c r="L144" i="1"/>
  <c r="J144" i="1"/>
  <c r="K144" i="1" s="1"/>
  <c r="Q143" i="1"/>
  <c r="P143" i="1"/>
  <c r="O143" i="1"/>
  <c r="N143" i="1"/>
  <c r="M143" i="1"/>
  <c r="L143" i="1"/>
  <c r="J143" i="1"/>
  <c r="K143" i="1" s="1"/>
  <c r="P142" i="1"/>
  <c r="Q142" i="1" s="1"/>
  <c r="O142" i="1"/>
  <c r="N142" i="1"/>
  <c r="M142" i="1"/>
  <c r="L142" i="1"/>
  <c r="J142" i="1"/>
  <c r="K142" i="1" s="1"/>
  <c r="Q141" i="1"/>
  <c r="P141" i="1"/>
  <c r="O141" i="1"/>
  <c r="N141" i="1"/>
  <c r="M141" i="1"/>
  <c r="L141" i="1"/>
  <c r="J141" i="1"/>
  <c r="K141" i="1" s="1"/>
  <c r="Q140" i="1"/>
  <c r="P140" i="1"/>
  <c r="O140" i="1"/>
  <c r="N140" i="1"/>
  <c r="M140" i="1"/>
  <c r="L140" i="1"/>
  <c r="J140" i="1"/>
  <c r="K140" i="1" s="1"/>
  <c r="P139" i="1"/>
  <c r="Q139" i="1" s="1"/>
  <c r="O139" i="1"/>
  <c r="N139" i="1"/>
  <c r="M139" i="1"/>
  <c r="L139" i="1"/>
  <c r="J139" i="1"/>
  <c r="K139" i="1" s="1"/>
  <c r="Q138" i="1"/>
  <c r="P138" i="1"/>
  <c r="O138" i="1"/>
  <c r="N138" i="1"/>
  <c r="M138" i="1"/>
  <c r="L138" i="1"/>
  <c r="J138" i="1"/>
  <c r="K138" i="1" s="1"/>
  <c r="Q137" i="1"/>
  <c r="P137" i="1"/>
  <c r="O137" i="1"/>
  <c r="N137" i="1"/>
  <c r="M137" i="1"/>
  <c r="L137" i="1"/>
  <c r="J137" i="1"/>
  <c r="K137" i="1" s="1"/>
  <c r="P136" i="1"/>
  <c r="Q136" i="1" s="1"/>
  <c r="O136" i="1"/>
  <c r="N136" i="1"/>
  <c r="M136" i="1"/>
  <c r="L136" i="1"/>
  <c r="J136" i="1"/>
  <c r="K136" i="1" s="1"/>
  <c r="Q135" i="1"/>
  <c r="P135" i="1"/>
  <c r="O135" i="1"/>
  <c r="N135" i="1"/>
  <c r="M135" i="1"/>
  <c r="L135" i="1"/>
  <c r="J135" i="1"/>
  <c r="K135" i="1" s="1"/>
  <c r="Q134" i="1"/>
  <c r="P134" i="1"/>
  <c r="O134" i="1"/>
  <c r="N134" i="1"/>
  <c r="M134" i="1"/>
  <c r="L134" i="1"/>
  <c r="J134" i="1"/>
  <c r="K134" i="1" s="1"/>
  <c r="P133" i="1"/>
  <c r="Q133" i="1" s="1"/>
  <c r="O133" i="1"/>
  <c r="N133" i="1"/>
  <c r="M133" i="1"/>
  <c r="L133" i="1"/>
  <c r="J133" i="1"/>
  <c r="K133" i="1" s="1"/>
  <c r="Q132" i="1"/>
  <c r="P132" i="1"/>
  <c r="O132" i="1"/>
  <c r="N132" i="1"/>
  <c r="M132" i="1"/>
  <c r="L132" i="1"/>
  <c r="J132" i="1"/>
  <c r="K132" i="1" s="1"/>
  <c r="Q131" i="1"/>
  <c r="P131" i="1"/>
  <c r="O131" i="1"/>
  <c r="N131" i="1"/>
  <c r="M131" i="1"/>
  <c r="L131" i="1"/>
  <c r="J131" i="1"/>
  <c r="K131" i="1" s="1"/>
  <c r="P130" i="1"/>
  <c r="Q130" i="1" s="1"/>
  <c r="O130" i="1"/>
  <c r="N130" i="1"/>
  <c r="M130" i="1"/>
  <c r="L130" i="1"/>
  <c r="J130" i="1"/>
  <c r="K130" i="1" s="1"/>
  <c r="Q129" i="1"/>
  <c r="P129" i="1"/>
  <c r="O129" i="1"/>
  <c r="N129" i="1"/>
  <c r="M129" i="1"/>
  <c r="L129" i="1"/>
  <c r="J129" i="1"/>
  <c r="K129" i="1" s="1"/>
  <c r="Q128" i="1"/>
  <c r="P128" i="1"/>
  <c r="O128" i="1"/>
  <c r="N128" i="1"/>
  <c r="M128" i="1"/>
  <c r="L128" i="1"/>
  <c r="J128" i="1"/>
  <c r="K128" i="1" s="1"/>
  <c r="P127" i="1"/>
  <c r="Q127" i="1" s="1"/>
  <c r="O127" i="1"/>
  <c r="N127" i="1"/>
  <c r="M127" i="1"/>
  <c r="L127" i="1"/>
  <c r="J127" i="1"/>
  <c r="K127" i="1" s="1"/>
  <c r="Q126" i="1"/>
  <c r="P126" i="1"/>
  <c r="O126" i="1"/>
  <c r="N126" i="1"/>
  <c r="M126" i="1"/>
  <c r="L126" i="1"/>
  <c r="J126" i="1"/>
  <c r="K126" i="1" s="1"/>
  <c r="Q125" i="1"/>
  <c r="P125" i="1"/>
  <c r="O125" i="1"/>
  <c r="N125" i="1"/>
  <c r="M125" i="1"/>
  <c r="L125" i="1"/>
  <c r="J125" i="1"/>
  <c r="K125" i="1" s="1"/>
  <c r="P124" i="1"/>
  <c r="Q124" i="1" s="1"/>
  <c r="O124" i="1"/>
  <c r="N124" i="1"/>
  <c r="M124" i="1"/>
  <c r="L124" i="1"/>
  <c r="J124" i="1"/>
  <c r="K124" i="1" s="1"/>
  <c r="Q123" i="1"/>
  <c r="P123" i="1"/>
  <c r="O123" i="1"/>
  <c r="N123" i="1"/>
  <c r="M123" i="1"/>
  <c r="L123" i="1"/>
  <c r="J123" i="1"/>
  <c r="K123" i="1" s="1"/>
  <c r="Q122" i="1"/>
  <c r="P122" i="1"/>
  <c r="O122" i="1"/>
  <c r="N122" i="1"/>
  <c r="M122" i="1"/>
  <c r="L122" i="1"/>
  <c r="J122" i="1"/>
  <c r="K122" i="1" s="1"/>
  <c r="P121" i="1"/>
  <c r="Q121" i="1" s="1"/>
  <c r="O121" i="1"/>
  <c r="N121" i="1"/>
  <c r="M121" i="1"/>
  <c r="L121" i="1"/>
  <c r="J121" i="1"/>
  <c r="K121" i="1" s="1"/>
  <c r="Q120" i="1"/>
  <c r="P120" i="1"/>
  <c r="O120" i="1"/>
  <c r="N120" i="1"/>
  <c r="M120" i="1"/>
  <c r="L120" i="1"/>
  <c r="J120" i="1"/>
  <c r="K120" i="1" s="1"/>
  <c r="Q119" i="1"/>
  <c r="P119" i="1"/>
  <c r="O119" i="1"/>
  <c r="N119" i="1"/>
  <c r="M119" i="1"/>
  <c r="L119" i="1"/>
  <c r="J119" i="1"/>
  <c r="K119" i="1" s="1"/>
  <c r="P118" i="1"/>
  <c r="Q118" i="1" s="1"/>
  <c r="O118" i="1"/>
  <c r="N118" i="1"/>
  <c r="M118" i="1"/>
  <c r="L118" i="1"/>
  <c r="J118" i="1"/>
  <c r="K118" i="1" s="1"/>
  <c r="Q117" i="1"/>
  <c r="P117" i="1"/>
  <c r="O117" i="1"/>
  <c r="N117" i="1"/>
  <c r="M117" i="1"/>
  <c r="L117" i="1"/>
  <c r="J117" i="1"/>
  <c r="K117" i="1" s="1"/>
  <c r="Q116" i="1"/>
  <c r="P116" i="1"/>
  <c r="O116" i="1"/>
  <c r="N116" i="1"/>
  <c r="M116" i="1"/>
  <c r="L116" i="1"/>
  <c r="J116" i="1"/>
  <c r="K116" i="1" s="1"/>
  <c r="P115" i="1"/>
  <c r="Q115" i="1" s="1"/>
  <c r="O115" i="1"/>
  <c r="N115" i="1"/>
  <c r="M115" i="1"/>
  <c r="L115" i="1"/>
  <c r="J115" i="1"/>
  <c r="K115" i="1" s="1"/>
  <c r="Q114" i="1"/>
  <c r="P114" i="1"/>
  <c r="O114" i="1"/>
  <c r="N114" i="1"/>
  <c r="M114" i="1"/>
  <c r="L114" i="1"/>
  <c r="J114" i="1"/>
  <c r="K114" i="1" s="1"/>
  <c r="Q113" i="1"/>
  <c r="P113" i="1"/>
  <c r="O113" i="1"/>
  <c r="N113" i="1"/>
  <c r="M113" i="1"/>
  <c r="L113" i="1"/>
  <c r="J113" i="1"/>
  <c r="K113" i="1" s="1"/>
  <c r="P112" i="1"/>
  <c r="Q112" i="1" s="1"/>
  <c r="O112" i="1"/>
  <c r="N112" i="1"/>
  <c r="M112" i="1"/>
  <c r="L112" i="1"/>
  <c r="J112" i="1"/>
  <c r="K112" i="1" s="1"/>
  <c r="Q111" i="1"/>
  <c r="P111" i="1"/>
  <c r="O111" i="1"/>
  <c r="N111" i="1"/>
  <c r="M111" i="1"/>
  <c r="L111" i="1"/>
  <c r="J111" i="1"/>
  <c r="K111" i="1" s="1"/>
  <c r="Q110" i="1"/>
  <c r="P110" i="1"/>
  <c r="O110" i="1"/>
  <c r="N110" i="1"/>
  <c r="M110" i="1"/>
  <c r="L110" i="1"/>
  <c r="J110" i="1"/>
  <c r="K110" i="1" s="1"/>
  <c r="P109" i="1"/>
  <c r="Q109" i="1" s="1"/>
  <c r="O109" i="1"/>
  <c r="N109" i="1"/>
  <c r="M109" i="1"/>
  <c r="L109" i="1"/>
  <c r="J109" i="1"/>
  <c r="K109" i="1" s="1"/>
  <c r="Q108" i="1"/>
  <c r="P108" i="1"/>
  <c r="O108" i="1"/>
  <c r="N108" i="1"/>
  <c r="M108" i="1"/>
  <c r="L108" i="1"/>
  <c r="J108" i="1"/>
  <c r="K108" i="1" s="1"/>
  <c r="Q107" i="1"/>
  <c r="P107" i="1"/>
  <c r="O107" i="1"/>
  <c r="N107" i="1"/>
  <c r="M107" i="1"/>
  <c r="L107" i="1"/>
  <c r="J107" i="1"/>
  <c r="K107" i="1" s="1"/>
  <c r="P106" i="1"/>
  <c r="Q106" i="1" s="1"/>
  <c r="O106" i="1"/>
  <c r="N106" i="1"/>
  <c r="M106" i="1"/>
  <c r="L106" i="1"/>
  <c r="J106" i="1"/>
  <c r="K106" i="1" s="1"/>
  <c r="Q105" i="1"/>
  <c r="P105" i="1"/>
  <c r="O105" i="1"/>
  <c r="N105" i="1"/>
  <c r="M105" i="1"/>
  <c r="L105" i="1"/>
  <c r="J105" i="1"/>
  <c r="K105" i="1" s="1"/>
  <c r="Q104" i="1"/>
  <c r="P104" i="1"/>
  <c r="O104" i="1"/>
  <c r="N104" i="1"/>
  <c r="M104" i="1"/>
  <c r="L104" i="1"/>
  <c r="J104" i="1"/>
  <c r="P103" i="1"/>
  <c r="Q103" i="1" s="1"/>
  <c r="O103" i="1"/>
  <c r="N103" i="1"/>
  <c r="M103" i="1"/>
  <c r="L103" i="1"/>
  <c r="J103" i="1"/>
  <c r="K103" i="1" s="1"/>
  <c r="Q102" i="1"/>
  <c r="P102" i="1"/>
  <c r="O102" i="1"/>
  <c r="N102" i="1"/>
  <c r="M102" i="1"/>
  <c r="L102" i="1"/>
  <c r="J102" i="1"/>
  <c r="K102" i="1" s="1"/>
  <c r="Q101" i="1"/>
  <c r="P101" i="1"/>
  <c r="O101" i="1"/>
  <c r="N101" i="1"/>
  <c r="M101" i="1"/>
  <c r="L101" i="1"/>
  <c r="J101" i="1"/>
  <c r="K101" i="1" s="1"/>
  <c r="P100" i="1"/>
  <c r="Q100" i="1" s="1"/>
  <c r="O100" i="1"/>
  <c r="N100" i="1"/>
  <c r="M100" i="1"/>
  <c r="L100" i="1"/>
  <c r="J100" i="1"/>
  <c r="K100" i="1" s="1"/>
  <c r="Q99" i="1"/>
  <c r="P99" i="1"/>
  <c r="O99" i="1"/>
  <c r="N99" i="1"/>
  <c r="M99" i="1"/>
  <c r="L99" i="1"/>
  <c r="J99" i="1"/>
  <c r="K99" i="1" s="1"/>
  <c r="Q98" i="1"/>
  <c r="P98" i="1"/>
  <c r="O98" i="1"/>
  <c r="N98" i="1"/>
  <c r="M98" i="1"/>
  <c r="L98" i="1"/>
  <c r="J98" i="1"/>
  <c r="K98" i="1" s="1"/>
  <c r="P97" i="1"/>
  <c r="Q97" i="1" s="1"/>
  <c r="O97" i="1"/>
  <c r="N97" i="1"/>
  <c r="M97" i="1"/>
  <c r="L97" i="1"/>
  <c r="J97" i="1"/>
  <c r="K97" i="1" s="1"/>
  <c r="Q96" i="1"/>
  <c r="P96" i="1"/>
  <c r="O96" i="1"/>
  <c r="N96" i="1"/>
  <c r="M96" i="1"/>
  <c r="L96" i="1"/>
  <c r="K96" i="1"/>
  <c r="J96" i="1"/>
  <c r="Q95" i="1"/>
  <c r="P95" i="1"/>
  <c r="O95" i="1"/>
  <c r="N95" i="1"/>
  <c r="M95" i="1"/>
  <c r="L95" i="1"/>
  <c r="J95" i="1"/>
  <c r="K95" i="1" s="1"/>
  <c r="P94" i="1"/>
  <c r="Q94" i="1" s="1"/>
  <c r="O94" i="1"/>
  <c r="N94" i="1"/>
  <c r="M94" i="1"/>
  <c r="L94" i="1"/>
  <c r="J94" i="1"/>
  <c r="K94" i="1" s="1"/>
  <c r="Q93" i="1"/>
  <c r="P93" i="1"/>
  <c r="O93" i="1"/>
  <c r="N93" i="1"/>
  <c r="M93" i="1"/>
  <c r="L93" i="1"/>
  <c r="J93" i="1"/>
  <c r="K93" i="1" s="1"/>
  <c r="Q92" i="1"/>
  <c r="P92" i="1"/>
  <c r="O92" i="1"/>
  <c r="N92" i="1"/>
  <c r="M92" i="1"/>
  <c r="L92" i="1"/>
  <c r="J92" i="1"/>
  <c r="K92" i="1" s="1"/>
  <c r="P91" i="1"/>
  <c r="Q91" i="1" s="1"/>
  <c r="O91" i="1"/>
  <c r="N91" i="1"/>
  <c r="M91" i="1"/>
  <c r="L91" i="1"/>
  <c r="J91" i="1"/>
  <c r="K91" i="1" s="1"/>
  <c r="Q90" i="1"/>
  <c r="P90" i="1"/>
  <c r="O90" i="1"/>
  <c r="N90" i="1"/>
  <c r="M90" i="1"/>
  <c r="L90" i="1"/>
  <c r="J90" i="1"/>
  <c r="K90" i="1" s="1"/>
  <c r="Q89" i="1"/>
  <c r="P89" i="1"/>
  <c r="O89" i="1"/>
  <c r="N89" i="1"/>
  <c r="M89" i="1"/>
  <c r="L89" i="1"/>
  <c r="J89" i="1"/>
  <c r="K89" i="1" s="1"/>
  <c r="P88" i="1"/>
  <c r="Q88" i="1" s="1"/>
  <c r="O88" i="1"/>
  <c r="N88" i="1"/>
  <c r="M88" i="1"/>
  <c r="L88" i="1"/>
  <c r="J88" i="1"/>
  <c r="K88" i="1" s="1"/>
  <c r="Q87" i="1"/>
  <c r="P87" i="1"/>
  <c r="O87" i="1"/>
  <c r="N87" i="1"/>
  <c r="M87" i="1"/>
  <c r="L87" i="1"/>
  <c r="J87" i="1"/>
  <c r="K87" i="1" s="1"/>
  <c r="Q86" i="1"/>
  <c r="P86" i="1"/>
  <c r="O86" i="1"/>
  <c r="N86" i="1"/>
  <c r="M86" i="1"/>
  <c r="L86" i="1"/>
  <c r="J86" i="1"/>
  <c r="K86" i="1" s="1"/>
  <c r="P85" i="1"/>
  <c r="Q85" i="1" s="1"/>
  <c r="O85" i="1"/>
  <c r="N85" i="1"/>
  <c r="M85" i="1"/>
  <c r="L85" i="1"/>
  <c r="J85" i="1"/>
  <c r="K85" i="1" s="1"/>
  <c r="Q84" i="1"/>
  <c r="P84" i="1"/>
  <c r="O84" i="1"/>
  <c r="N84" i="1"/>
  <c r="M84" i="1"/>
  <c r="L84" i="1"/>
  <c r="K84" i="1"/>
  <c r="J84" i="1"/>
  <c r="Q83" i="1"/>
  <c r="P83" i="1"/>
  <c r="O83" i="1"/>
  <c r="N83" i="1"/>
  <c r="M83" i="1"/>
  <c r="L83" i="1"/>
  <c r="J83" i="1"/>
  <c r="K83" i="1" s="1"/>
  <c r="P82" i="1"/>
  <c r="Q82" i="1" s="1"/>
  <c r="O82" i="1"/>
  <c r="N82" i="1"/>
  <c r="M82" i="1"/>
  <c r="L82" i="1"/>
  <c r="J82" i="1"/>
  <c r="K82" i="1" s="1"/>
  <c r="Q81" i="1"/>
  <c r="P81" i="1"/>
  <c r="O81" i="1"/>
  <c r="N81" i="1"/>
  <c r="M81" i="1"/>
  <c r="L81" i="1"/>
  <c r="J81" i="1"/>
  <c r="K81" i="1" s="1"/>
  <c r="Q80" i="1"/>
  <c r="P80" i="1"/>
  <c r="O80" i="1"/>
  <c r="N80" i="1"/>
  <c r="M80" i="1"/>
  <c r="L80" i="1"/>
  <c r="J80" i="1"/>
  <c r="K80" i="1" s="1"/>
  <c r="P79" i="1"/>
  <c r="Q79" i="1" s="1"/>
  <c r="O79" i="1"/>
  <c r="N79" i="1"/>
  <c r="M79" i="1"/>
  <c r="L79" i="1"/>
  <c r="J79" i="1"/>
  <c r="K79" i="1" s="1"/>
  <c r="Q78" i="1"/>
  <c r="P78" i="1"/>
  <c r="O78" i="1"/>
  <c r="N78" i="1"/>
  <c r="M78" i="1"/>
  <c r="L78" i="1"/>
  <c r="J78" i="1"/>
  <c r="K78" i="1" s="1"/>
  <c r="Q77" i="1"/>
  <c r="P77" i="1"/>
  <c r="O77" i="1"/>
  <c r="N77" i="1"/>
  <c r="M77" i="1"/>
  <c r="L77" i="1"/>
  <c r="J77" i="1"/>
  <c r="K77" i="1" s="1"/>
  <c r="P76" i="1"/>
  <c r="Q76" i="1" s="1"/>
  <c r="O76" i="1"/>
  <c r="N76" i="1"/>
  <c r="M76" i="1"/>
  <c r="L76" i="1"/>
  <c r="J76" i="1"/>
  <c r="K76" i="1" s="1"/>
  <c r="Q75" i="1"/>
  <c r="P75" i="1"/>
  <c r="O75" i="1"/>
  <c r="N75" i="1"/>
  <c r="M75" i="1"/>
  <c r="L75" i="1"/>
  <c r="J75" i="1"/>
  <c r="K75" i="1" s="1"/>
  <c r="Q74" i="1"/>
  <c r="P74" i="1"/>
  <c r="O74" i="1"/>
  <c r="N74" i="1"/>
  <c r="M74" i="1"/>
  <c r="L74" i="1"/>
  <c r="J74" i="1"/>
  <c r="K74" i="1" s="1"/>
  <c r="P73" i="1"/>
  <c r="Q73" i="1" s="1"/>
  <c r="O73" i="1"/>
  <c r="N73" i="1"/>
  <c r="M73" i="1"/>
  <c r="L73" i="1"/>
  <c r="J73" i="1"/>
  <c r="K73" i="1" s="1"/>
  <c r="Q72" i="1"/>
  <c r="P72" i="1"/>
  <c r="O72" i="1"/>
  <c r="N72" i="1"/>
  <c r="M72" i="1"/>
  <c r="L72" i="1"/>
  <c r="K72" i="1"/>
  <c r="J72" i="1"/>
  <c r="Q71" i="1"/>
  <c r="P71" i="1"/>
  <c r="O71" i="1"/>
  <c r="N71" i="1"/>
  <c r="M71" i="1"/>
  <c r="L71" i="1"/>
  <c r="J71" i="1"/>
  <c r="K71" i="1" s="1"/>
  <c r="P70" i="1"/>
  <c r="Q70" i="1" s="1"/>
  <c r="O70" i="1"/>
  <c r="N70" i="1"/>
  <c r="M70" i="1"/>
  <c r="L70" i="1"/>
  <c r="J70" i="1"/>
  <c r="K70" i="1" s="1"/>
  <c r="Q69" i="1"/>
  <c r="P69" i="1"/>
  <c r="O69" i="1"/>
  <c r="N69" i="1"/>
  <c r="M69" i="1"/>
  <c r="L69" i="1"/>
  <c r="J69" i="1"/>
  <c r="K69" i="1" s="1"/>
  <c r="Q68" i="1"/>
  <c r="P68" i="1"/>
  <c r="O68" i="1"/>
  <c r="N68" i="1"/>
  <c r="M68" i="1"/>
  <c r="L68" i="1"/>
  <c r="J68" i="1"/>
  <c r="K68" i="1" s="1"/>
  <c r="P67" i="1"/>
  <c r="Q67" i="1" s="1"/>
  <c r="O67" i="1"/>
  <c r="N67" i="1"/>
  <c r="M67" i="1"/>
  <c r="L67" i="1"/>
  <c r="J67" i="1"/>
  <c r="K67" i="1" s="1"/>
  <c r="Q66" i="1"/>
  <c r="P66" i="1"/>
  <c r="O66" i="1"/>
  <c r="N66" i="1"/>
  <c r="M66" i="1"/>
  <c r="L66" i="1"/>
  <c r="J66" i="1"/>
  <c r="K66" i="1" s="1"/>
  <c r="Q65" i="1"/>
  <c r="P65" i="1"/>
  <c r="O65" i="1"/>
  <c r="N65" i="1"/>
  <c r="M65" i="1"/>
  <c r="L65" i="1"/>
  <c r="J65" i="1"/>
  <c r="K65" i="1" s="1"/>
  <c r="P64" i="1"/>
  <c r="Q64" i="1" s="1"/>
  <c r="O64" i="1"/>
  <c r="N64" i="1"/>
  <c r="M64" i="1"/>
  <c r="L64" i="1"/>
  <c r="J64" i="1"/>
  <c r="K64" i="1" s="1"/>
  <c r="Q63" i="1"/>
  <c r="P63" i="1"/>
  <c r="O63" i="1"/>
  <c r="N63" i="1"/>
  <c r="M63" i="1"/>
  <c r="L63" i="1"/>
  <c r="J63" i="1"/>
  <c r="K63" i="1" s="1"/>
  <c r="Q62" i="1"/>
  <c r="P62" i="1"/>
  <c r="O62" i="1"/>
  <c r="N62" i="1"/>
  <c r="M62" i="1"/>
  <c r="L62" i="1"/>
  <c r="J62" i="1"/>
  <c r="K62" i="1" s="1"/>
  <c r="P61" i="1"/>
  <c r="Q61" i="1" s="1"/>
  <c r="O61" i="1"/>
  <c r="N61" i="1"/>
  <c r="M61" i="1"/>
  <c r="L61" i="1"/>
  <c r="J61" i="1"/>
  <c r="K61" i="1" s="1"/>
  <c r="Q60" i="1"/>
  <c r="P60" i="1"/>
  <c r="O60" i="1"/>
  <c r="N60" i="1"/>
  <c r="M60" i="1"/>
  <c r="L60" i="1"/>
  <c r="K60" i="1"/>
  <c r="J60" i="1"/>
  <c r="Q59" i="1"/>
  <c r="P59" i="1"/>
  <c r="O59" i="1"/>
  <c r="N59" i="1"/>
  <c r="M59" i="1"/>
  <c r="L59" i="1"/>
  <c r="J59" i="1"/>
  <c r="K59" i="1" s="1"/>
  <c r="P58" i="1"/>
  <c r="Q58" i="1" s="1"/>
  <c r="O58" i="1"/>
  <c r="N58" i="1"/>
  <c r="M58" i="1"/>
  <c r="L58" i="1"/>
  <c r="J58" i="1"/>
  <c r="K58" i="1" s="1"/>
  <c r="Q57" i="1"/>
  <c r="P57" i="1"/>
  <c r="O57" i="1"/>
  <c r="N57" i="1"/>
  <c r="M57" i="1"/>
  <c r="L57" i="1"/>
  <c r="J57" i="1"/>
  <c r="K57" i="1" s="1"/>
  <c r="Q56" i="1"/>
  <c r="P56" i="1"/>
  <c r="O56" i="1"/>
  <c r="N56" i="1"/>
  <c r="M56" i="1"/>
  <c r="L56" i="1"/>
  <c r="J56" i="1"/>
  <c r="K56" i="1" s="1"/>
  <c r="P55" i="1"/>
  <c r="Q55" i="1" s="1"/>
  <c r="O55" i="1"/>
  <c r="N55" i="1"/>
  <c r="M55" i="1"/>
  <c r="L55" i="1"/>
  <c r="J55" i="1"/>
  <c r="K55" i="1" s="1"/>
  <c r="Q54" i="1"/>
  <c r="P54" i="1"/>
  <c r="O54" i="1"/>
  <c r="N54" i="1"/>
  <c r="M54" i="1"/>
  <c r="L54" i="1"/>
  <c r="J54" i="1"/>
  <c r="K54" i="1" s="1"/>
  <c r="Q53" i="1"/>
  <c r="P53" i="1"/>
  <c r="O53" i="1"/>
  <c r="N53" i="1"/>
  <c r="M53" i="1"/>
  <c r="L53" i="1"/>
  <c r="J53" i="1"/>
  <c r="K53" i="1" s="1"/>
  <c r="P52" i="1"/>
  <c r="Q52" i="1" s="1"/>
  <c r="O52" i="1"/>
  <c r="N52" i="1"/>
  <c r="M52" i="1"/>
  <c r="L52" i="1"/>
  <c r="J52" i="1"/>
  <c r="K52" i="1" s="1"/>
  <c r="Q51" i="1"/>
  <c r="P51" i="1"/>
  <c r="O51" i="1"/>
  <c r="N51" i="1"/>
  <c r="M51" i="1"/>
  <c r="L51" i="1"/>
  <c r="J51" i="1"/>
  <c r="K51" i="1" s="1"/>
  <c r="Q50" i="1"/>
  <c r="P50" i="1"/>
  <c r="O50" i="1"/>
  <c r="N50" i="1"/>
  <c r="M50" i="1"/>
  <c r="L50" i="1"/>
  <c r="J50" i="1"/>
  <c r="K50" i="1" s="1"/>
  <c r="P49" i="1"/>
  <c r="Q49" i="1" s="1"/>
  <c r="O49" i="1"/>
  <c r="N49" i="1"/>
  <c r="M49" i="1"/>
  <c r="L49" i="1"/>
  <c r="J49" i="1"/>
  <c r="K49" i="1" s="1"/>
  <c r="Q48" i="1"/>
  <c r="P48" i="1"/>
  <c r="O48" i="1"/>
  <c r="N48" i="1"/>
  <c r="M48" i="1"/>
  <c r="L48" i="1"/>
  <c r="K48" i="1"/>
  <c r="J48" i="1"/>
  <c r="Q47" i="1"/>
  <c r="P47" i="1"/>
  <c r="O47" i="1"/>
  <c r="N47" i="1"/>
  <c r="M47" i="1"/>
  <c r="L47" i="1"/>
  <c r="J47" i="1"/>
  <c r="K47" i="1" s="1"/>
  <c r="P46" i="1"/>
  <c r="Q46" i="1" s="1"/>
  <c r="O46" i="1"/>
  <c r="N46" i="1"/>
  <c r="M46" i="1"/>
  <c r="L46" i="1"/>
  <c r="J46" i="1"/>
  <c r="K46" i="1" s="1"/>
  <c r="Q45" i="1"/>
  <c r="P45" i="1"/>
  <c r="O45" i="1"/>
  <c r="N45" i="1"/>
  <c r="M45" i="1"/>
  <c r="L45" i="1"/>
  <c r="J45" i="1"/>
  <c r="K45" i="1" s="1"/>
  <c r="Q44" i="1"/>
  <c r="P44" i="1"/>
  <c r="O44" i="1"/>
  <c r="N44" i="1"/>
  <c r="M44" i="1"/>
  <c r="L44" i="1"/>
  <c r="J44" i="1"/>
  <c r="K44" i="1" s="1"/>
  <c r="P43" i="1"/>
  <c r="Q43" i="1" s="1"/>
  <c r="O43" i="1"/>
  <c r="N43" i="1"/>
  <c r="M43" i="1"/>
  <c r="L43" i="1"/>
  <c r="J43" i="1"/>
  <c r="K43" i="1" s="1"/>
  <c r="Q42" i="1"/>
  <c r="P42" i="1"/>
  <c r="O42" i="1"/>
  <c r="N42" i="1"/>
  <c r="M42" i="1"/>
  <c r="L42" i="1"/>
  <c r="J42" i="1"/>
  <c r="K42" i="1" s="1"/>
  <c r="Q41" i="1"/>
  <c r="P41" i="1"/>
  <c r="O41" i="1"/>
  <c r="N41" i="1"/>
  <c r="M41" i="1"/>
  <c r="L41" i="1"/>
  <c r="J41" i="1"/>
  <c r="K41" i="1" s="1"/>
  <c r="P40" i="1"/>
  <c r="Q40" i="1" s="1"/>
  <c r="O40" i="1"/>
  <c r="N40" i="1"/>
  <c r="M40" i="1"/>
  <c r="L40" i="1"/>
  <c r="J40" i="1"/>
  <c r="K40" i="1" s="1"/>
  <c r="Q39" i="1"/>
  <c r="P39" i="1"/>
  <c r="O39" i="1"/>
  <c r="N39" i="1"/>
  <c r="M39" i="1"/>
  <c r="L39" i="1"/>
  <c r="J39" i="1"/>
  <c r="K39" i="1" s="1"/>
  <c r="Q38" i="1"/>
  <c r="P38" i="1"/>
  <c r="O38" i="1"/>
  <c r="N38" i="1"/>
  <c r="M38" i="1"/>
  <c r="L38" i="1"/>
  <c r="J38" i="1"/>
  <c r="K38" i="1" s="1"/>
  <c r="P37" i="1"/>
  <c r="Q37" i="1" s="1"/>
  <c r="O37" i="1"/>
  <c r="N37" i="1"/>
  <c r="M37" i="1"/>
  <c r="L37" i="1"/>
  <c r="J37" i="1"/>
  <c r="K37" i="1" s="1"/>
  <c r="Q36" i="1"/>
  <c r="P36" i="1"/>
  <c r="O36" i="1"/>
  <c r="N36" i="1"/>
  <c r="M36" i="1"/>
  <c r="L36" i="1"/>
  <c r="K36" i="1"/>
  <c r="J36" i="1"/>
  <c r="Q35" i="1"/>
  <c r="P35" i="1"/>
  <c r="O35" i="1"/>
  <c r="N35" i="1"/>
  <c r="M35" i="1"/>
  <c r="L35" i="1"/>
  <c r="J35" i="1"/>
  <c r="K35" i="1" s="1"/>
  <c r="P34" i="1"/>
  <c r="Q34" i="1" s="1"/>
  <c r="O34" i="1"/>
  <c r="N34" i="1"/>
  <c r="M34" i="1"/>
  <c r="L34" i="1"/>
  <c r="J34" i="1"/>
  <c r="K34" i="1" s="1"/>
  <c r="Q33" i="1"/>
  <c r="P33" i="1"/>
  <c r="O33" i="1"/>
  <c r="N33" i="1"/>
  <c r="M33" i="1"/>
  <c r="L33" i="1"/>
  <c r="J33" i="1"/>
  <c r="K33" i="1" s="1"/>
  <c r="Q32" i="1"/>
  <c r="P32" i="1"/>
  <c r="O32" i="1"/>
  <c r="N32" i="1"/>
  <c r="M32" i="1"/>
  <c r="L32" i="1"/>
  <c r="J32" i="1"/>
  <c r="K32" i="1" s="1"/>
  <c r="P31" i="1"/>
  <c r="Q31" i="1" s="1"/>
  <c r="O31" i="1"/>
  <c r="N31" i="1"/>
  <c r="M31" i="1"/>
  <c r="L31" i="1"/>
  <c r="J31" i="1"/>
  <c r="K31" i="1" s="1"/>
  <c r="Q30" i="1"/>
  <c r="P30" i="1"/>
  <c r="O30" i="1"/>
  <c r="N30" i="1"/>
  <c r="M30" i="1"/>
  <c r="L30" i="1"/>
  <c r="J30" i="1"/>
  <c r="K30" i="1" s="1"/>
  <c r="Q29" i="1"/>
  <c r="P29" i="1"/>
  <c r="O29" i="1"/>
  <c r="N29" i="1"/>
  <c r="M29" i="1"/>
  <c r="L29" i="1"/>
  <c r="J29" i="1"/>
  <c r="K29" i="1" s="1"/>
  <c r="P28" i="1"/>
  <c r="Q28" i="1" s="1"/>
  <c r="O28" i="1"/>
  <c r="N28" i="1"/>
  <c r="M28" i="1"/>
  <c r="L28" i="1"/>
  <c r="J28" i="1"/>
  <c r="K28" i="1" s="1"/>
  <c r="Q27" i="1"/>
  <c r="P27" i="1"/>
  <c r="O27" i="1"/>
  <c r="N27" i="1"/>
  <c r="M27" i="1"/>
  <c r="L27" i="1"/>
  <c r="J27" i="1"/>
  <c r="K27" i="1" s="1"/>
  <c r="Q26" i="1"/>
  <c r="P26" i="1"/>
  <c r="O26" i="1"/>
  <c r="N26" i="1"/>
  <c r="M26" i="1"/>
  <c r="L26" i="1"/>
  <c r="J26" i="1"/>
  <c r="K26" i="1" s="1"/>
  <c r="P25" i="1"/>
  <c r="Q25" i="1" s="1"/>
  <c r="O25" i="1"/>
  <c r="N25" i="1"/>
  <c r="M25" i="1"/>
  <c r="L25" i="1"/>
  <c r="J25" i="1"/>
  <c r="K25" i="1" s="1"/>
  <c r="Q24" i="1"/>
  <c r="P24" i="1"/>
  <c r="O24" i="1"/>
  <c r="N24" i="1"/>
  <c r="M24" i="1"/>
  <c r="L24" i="1"/>
  <c r="K24" i="1"/>
  <c r="J24" i="1"/>
  <c r="Q23" i="1"/>
  <c r="P23" i="1"/>
  <c r="O23" i="1"/>
  <c r="N23" i="1"/>
  <c r="M23" i="1"/>
  <c r="L23" i="1"/>
  <c r="J23" i="1"/>
  <c r="K23" i="1" s="1"/>
  <c r="P22" i="1"/>
  <c r="Q22" i="1" s="1"/>
  <c r="O22" i="1"/>
  <c r="N22" i="1"/>
  <c r="M22" i="1"/>
  <c r="L22" i="1"/>
  <c r="J22" i="1"/>
  <c r="K22" i="1" s="1"/>
  <c r="Q21" i="1"/>
  <c r="P21" i="1"/>
  <c r="O21" i="1"/>
  <c r="N21" i="1"/>
  <c r="M21" i="1"/>
  <c r="L21" i="1"/>
  <c r="J21" i="1"/>
  <c r="K21" i="1" s="1"/>
  <c r="Q20" i="1"/>
  <c r="P20" i="1"/>
  <c r="O20" i="1"/>
  <c r="N20" i="1"/>
  <c r="M20" i="1"/>
  <c r="L20" i="1"/>
  <c r="J20" i="1"/>
  <c r="K20" i="1" s="1"/>
  <c r="P19" i="1"/>
  <c r="Q19" i="1" s="1"/>
  <c r="O19" i="1"/>
  <c r="N19" i="1"/>
  <c r="M19" i="1"/>
  <c r="L19" i="1"/>
  <c r="J19" i="1"/>
  <c r="K19" i="1" s="1"/>
  <c r="Q18" i="1"/>
  <c r="P18" i="1"/>
  <c r="O18" i="1"/>
  <c r="N18" i="1"/>
  <c r="M18" i="1"/>
  <c r="L18" i="1"/>
  <c r="J18" i="1"/>
  <c r="K18" i="1" s="1"/>
  <c r="Q17" i="1"/>
  <c r="P17" i="1"/>
  <c r="O17" i="1"/>
  <c r="N17" i="1"/>
  <c r="M17" i="1"/>
  <c r="L17" i="1"/>
  <c r="J17" i="1"/>
  <c r="K17" i="1" s="1"/>
  <c r="P16" i="1"/>
  <c r="Q16" i="1" s="1"/>
  <c r="O16" i="1"/>
  <c r="N16" i="1"/>
  <c r="M16" i="1"/>
  <c r="L16" i="1"/>
  <c r="J16" i="1"/>
  <c r="K16" i="1" s="1"/>
  <c r="Q15" i="1"/>
  <c r="P15" i="1"/>
  <c r="O15" i="1"/>
  <c r="N15" i="1"/>
  <c r="M15" i="1"/>
  <c r="L15" i="1"/>
  <c r="J15" i="1"/>
  <c r="K15" i="1" s="1"/>
  <c r="Q14" i="1"/>
  <c r="P14" i="1"/>
  <c r="O14" i="1"/>
  <c r="N14" i="1"/>
  <c r="M14" i="1"/>
  <c r="L14" i="1"/>
  <c r="J14" i="1"/>
  <c r="K14" i="1" s="1"/>
  <c r="P13" i="1"/>
  <c r="Q13" i="1" s="1"/>
  <c r="O13" i="1"/>
  <c r="N13" i="1"/>
  <c r="M13" i="1"/>
  <c r="L13" i="1"/>
  <c r="J13" i="1"/>
  <c r="K13" i="1" s="1"/>
  <c r="Q12" i="1"/>
  <c r="P12" i="1"/>
  <c r="O12" i="1"/>
  <c r="N12" i="1"/>
  <c r="M12" i="1"/>
  <c r="L12" i="1"/>
  <c r="K12" i="1"/>
  <c r="J12" i="1"/>
  <c r="Q11" i="1"/>
  <c r="P11" i="1"/>
  <c r="O11" i="1"/>
  <c r="N11" i="1"/>
  <c r="M11" i="1"/>
  <c r="L11" i="1"/>
  <c r="J11" i="1"/>
  <c r="K11" i="1" s="1"/>
  <c r="P10" i="1"/>
  <c r="Q10" i="1" s="1"/>
  <c r="O10" i="1"/>
  <c r="N10" i="1"/>
  <c r="M10" i="1"/>
  <c r="L10" i="1"/>
  <c r="J10" i="1"/>
  <c r="K10" i="1" s="1"/>
  <c r="Q9" i="1"/>
  <c r="P9" i="1"/>
  <c r="O9" i="1"/>
  <c r="N9" i="1"/>
  <c r="M9" i="1"/>
  <c r="L9" i="1"/>
  <c r="J9" i="1"/>
  <c r="K9" i="1" s="1"/>
  <c r="Q8" i="1"/>
  <c r="P8" i="1"/>
  <c r="O8" i="1"/>
  <c r="N8" i="1"/>
  <c r="M8" i="1"/>
  <c r="L8" i="1"/>
  <c r="J8" i="1"/>
  <c r="K8" i="1" s="1"/>
  <c r="P7" i="1"/>
  <c r="Q7" i="1" s="1"/>
  <c r="O7" i="1"/>
  <c r="N7" i="1"/>
  <c r="M7" i="1"/>
  <c r="L7" i="1"/>
  <c r="J7" i="1"/>
  <c r="K7" i="1" s="1"/>
  <c r="Q6" i="1"/>
  <c r="P6" i="1"/>
  <c r="O6" i="1"/>
  <c r="N6" i="1"/>
  <c r="M6" i="1"/>
  <c r="L6" i="1"/>
  <c r="J6" i="1"/>
  <c r="K6" i="1" s="1"/>
  <c r="Q5" i="1"/>
  <c r="P5" i="1"/>
  <c r="O5" i="1"/>
  <c r="N5" i="1"/>
  <c r="M5" i="1"/>
  <c r="L5" i="1"/>
  <c r="J5" i="1"/>
  <c r="K5" i="1" s="1"/>
  <c r="P4" i="1"/>
  <c r="Q4" i="1" s="1"/>
  <c r="O4" i="1"/>
  <c r="N4" i="1"/>
  <c r="M4" i="1"/>
  <c r="L4" i="1"/>
  <c r="J4" i="1"/>
  <c r="K4" i="1" s="1"/>
  <c r="Q3" i="1"/>
  <c r="P3" i="1"/>
  <c r="O3" i="1"/>
  <c r="N3" i="1"/>
  <c r="M3" i="1"/>
  <c r="L3" i="1"/>
  <c r="J3" i="1"/>
  <c r="K3" i="1" s="1"/>
  <c r="Q2" i="1"/>
  <c r="P2" i="1"/>
  <c r="O2" i="1"/>
  <c r="N2" i="1"/>
  <c r="M2" i="1"/>
  <c r="L2" i="1"/>
  <c r="J2" i="1"/>
  <c r="K104" i="1" s="1"/>
  <c r="K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CCDB5-D83A-4200-999F-64B6E20C625A}" keepAlive="1" name="Query - markets?vs_currency=usd&amp;order=market_cap_desc&amp;per_page=200&amp;page=1&amp;sparkline= (2)" description="Connection to the 'markets?vs_currency=usd&amp;order=market_cap_desc&amp;per_page=200&amp;page=1&amp;sparkline= (2)' query in the workbook." type="5" refreshedVersion="8" background="1" saveData="1">
    <dbPr connection="Provider=Microsoft.Mashup.OleDb.1;Data Source=$Workbook$;Location=&quot;markets?vs_currency=usd&amp;order=market_cap_desc&amp;per_page=200&amp;page=1&amp;sparkline= (2)&quot;;Extended Properties=&quot;&quot;" command="SELECT * FROM [markets?vs_currency=usd&amp;order=market_cap_desc&amp;per_page=200&amp;page=1&amp;sparkline= (2)]"/>
  </connection>
</connections>
</file>

<file path=xl/sharedStrings.xml><?xml version="1.0" encoding="utf-8"?>
<sst xmlns="http://schemas.openxmlformats.org/spreadsheetml/2006/main" count="417" uniqueCount="417">
  <si>
    <t>Symbol</t>
  </si>
  <si>
    <t>Name</t>
  </si>
  <si>
    <t>Current_price</t>
  </si>
  <si>
    <t>Market_cap</t>
  </si>
  <si>
    <t>Volume_24h</t>
  </si>
  <si>
    <t>Change_24h</t>
  </si>
  <si>
    <t>Circulating_supply</t>
  </si>
  <si>
    <t>Change_1h</t>
  </si>
  <si>
    <t>Change_7d</t>
  </si>
  <si>
    <t>First_Letter</t>
  </si>
  <si>
    <t>Valid_Start</t>
  </si>
  <si>
    <t>Price_Group</t>
  </si>
  <si>
    <t>Avg_Downfall</t>
  </si>
  <si>
    <t>Price_Group_Task3</t>
  </si>
  <si>
    <t>Price_Filter_Task4</t>
  </si>
  <si>
    <t>Previous_1h_Price</t>
  </si>
  <si>
    <t>Price_Change</t>
  </si>
  <si>
    <t>btc</t>
  </si>
  <si>
    <t>Bitcoin</t>
  </si>
  <si>
    <t>eth</t>
  </si>
  <si>
    <t>Ethereum</t>
  </si>
  <si>
    <t>usdt</t>
  </si>
  <si>
    <t>Tether</t>
  </si>
  <si>
    <t>bnb</t>
  </si>
  <si>
    <t>BNB</t>
  </si>
  <si>
    <t>xrp</t>
  </si>
  <si>
    <t>XRP</t>
  </si>
  <si>
    <t>usdc</t>
  </si>
  <si>
    <t>USDC</t>
  </si>
  <si>
    <t>sol</t>
  </si>
  <si>
    <t>Solana</t>
  </si>
  <si>
    <t>trx</t>
  </si>
  <si>
    <t>TRON</t>
  </si>
  <si>
    <t>figr_heloc</t>
  </si>
  <si>
    <t>Figure Heloc</t>
  </si>
  <si>
    <t>doge</t>
  </si>
  <si>
    <t>Dogecoin</t>
  </si>
  <si>
    <t>hype</t>
  </si>
  <si>
    <t>Hyperliquid</t>
  </si>
  <si>
    <t>wbt</t>
  </si>
  <si>
    <t>WhiteBIT Coin</t>
  </si>
  <si>
    <t>zec</t>
  </si>
  <si>
    <t>Zcash</t>
  </si>
  <si>
    <t>usds</t>
  </si>
  <si>
    <t>USDS</t>
  </si>
  <si>
    <t>leo</t>
  </si>
  <si>
    <t>LEO Token</t>
  </si>
  <si>
    <t>ada</t>
  </si>
  <si>
    <t>Cardano</t>
  </si>
  <si>
    <t>bch</t>
  </si>
  <si>
    <t>Bitcoin Cash</t>
  </si>
  <si>
    <t>xmr</t>
  </si>
  <si>
    <t>Monero</t>
  </si>
  <si>
    <t>link</t>
  </si>
  <si>
    <t>Chainlink</t>
  </si>
  <si>
    <t>cc</t>
  </si>
  <si>
    <t>Canton</t>
  </si>
  <si>
    <t>ton</t>
  </si>
  <si>
    <t>Toncoin</t>
  </si>
  <si>
    <t>xlm</t>
  </si>
  <si>
    <t>Stellar</t>
  </si>
  <si>
    <t>usd1</t>
  </si>
  <si>
    <t>USD1</t>
  </si>
  <si>
    <t>usde</t>
  </si>
  <si>
    <t>Ethena USDe</t>
  </si>
  <si>
    <t>sui</t>
  </si>
  <si>
    <t>Sui</t>
  </si>
  <si>
    <t>dai</t>
  </si>
  <si>
    <t>Dai</t>
  </si>
  <si>
    <t>ltc</t>
  </si>
  <si>
    <t>Litecoin</t>
  </si>
  <si>
    <t>avax</t>
  </si>
  <si>
    <t>Avalanche</t>
  </si>
  <si>
    <t>hbar</t>
  </si>
  <si>
    <t>Hedera</t>
  </si>
  <si>
    <t>m</t>
  </si>
  <si>
    <t>MemeCore</t>
  </si>
  <si>
    <t>pyusd</t>
  </si>
  <si>
    <t>PayPal USD</t>
  </si>
  <si>
    <t>rain</t>
  </si>
  <si>
    <t>Rain</t>
  </si>
  <si>
    <t>shib</t>
  </si>
  <si>
    <t>Shiba Inu</t>
  </si>
  <si>
    <t>cro</t>
  </si>
  <si>
    <t>Cronos</t>
  </si>
  <si>
    <t>usyc</t>
  </si>
  <si>
    <t>Circle USYC</t>
  </si>
  <si>
    <t>tao</t>
  </si>
  <si>
    <t>Bittensor</t>
  </si>
  <si>
    <t>xaut</t>
  </si>
  <si>
    <t>Tether Gold</t>
  </si>
  <si>
    <t>usdg</t>
  </si>
  <si>
    <t>Global Dollar</t>
  </si>
  <si>
    <t>buidl</t>
  </si>
  <si>
    <t>BlackRock USD Institutional Digital Liquidity Fund</t>
  </si>
  <si>
    <t>uni</t>
  </si>
  <si>
    <t>Uniswap</t>
  </si>
  <si>
    <t>near</t>
  </si>
  <si>
    <t>NEAR Protocol</t>
  </si>
  <si>
    <t>mnt</t>
  </si>
  <si>
    <t>Mantle</t>
  </si>
  <si>
    <t>usdy</t>
  </si>
  <si>
    <t>Ondo US Dollar Yield</t>
  </si>
  <si>
    <t>dot</t>
  </si>
  <si>
    <t>Polkadot</t>
  </si>
  <si>
    <t>paxg</t>
  </si>
  <si>
    <t>PAX Gold</t>
  </si>
  <si>
    <t>ondo</t>
  </si>
  <si>
    <t>Ondo</t>
  </si>
  <si>
    <t>wlfi</t>
  </si>
  <si>
    <t>World Liberty Financial</t>
  </si>
  <si>
    <t>aster</t>
  </si>
  <si>
    <t>Aster</t>
  </si>
  <si>
    <t>htx</t>
  </si>
  <si>
    <t>HTX DAO</t>
  </si>
  <si>
    <t>usdf</t>
  </si>
  <si>
    <t>Falcon USD</t>
  </si>
  <si>
    <t>rlusd</t>
  </si>
  <si>
    <t>Ripple USD</t>
  </si>
  <si>
    <t>okb</t>
  </si>
  <si>
    <t>OKB</t>
  </si>
  <si>
    <t>sky</t>
  </si>
  <si>
    <t>Sky</t>
  </si>
  <si>
    <t>pi</t>
  </si>
  <si>
    <t>Pi Network</t>
  </si>
  <si>
    <t>pepe</t>
  </si>
  <si>
    <t>Pepe</t>
  </si>
  <si>
    <t>usdd</t>
  </si>
  <si>
    <t>USDD</t>
  </si>
  <si>
    <t>icp</t>
  </si>
  <si>
    <t>Internet Computer</t>
  </si>
  <si>
    <t>bgb</t>
  </si>
  <si>
    <t>Bitget Token</t>
  </si>
  <si>
    <t>etc</t>
  </si>
  <si>
    <t>Ethereum Classic</t>
  </si>
  <si>
    <t>aave</t>
  </si>
  <si>
    <t>Aave</t>
  </si>
  <si>
    <t>bfusd</t>
  </si>
  <si>
    <t>BFUSD</t>
  </si>
  <si>
    <t>morpho</t>
  </si>
  <si>
    <t>Morpho</t>
  </si>
  <si>
    <t>usdtb</t>
  </si>
  <si>
    <t>USDtb</t>
  </si>
  <si>
    <t>kcs</t>
  </si>
  <si>
    <t>KuCoin</t>
  </si>
  <si>
    <t>qnt</t>
  </si>
  <si>
    <t>Quant</t>
  </si>
  <si>
    <t>eutbl</t>
  </si>
  <si>
    <t>Spiko EU T-Bills Money Market Fund</t>
  </si>
  <si>
    <t>atom</t>
  </si>
  <si>
    <t>Cosmos Hub</t>
  </si>
  <si>
    <t>algo</t>
  </si>
  <si>
    <t>Algorand</t>
  </si>
  <si>
    <t>u</t>
  </si>
  <si>
    <t>United Stables</t>
  </si>
  <si>
    <t>render</t>
  </si>
  <si>
    <t>Render</t>
  </si>
  <si>
    <t>jtrsy</t>
  </si>
  <si>
    <t>Janus Henderson Anemoy Treasury Fund</t>
  </si>
  <si>
    <t>ustb</t>
  </si>
  <si>
    <t>Superstate Short Duration U.S. Government Securities Fund (USTB)</t>
  </si>
  <si>
    <t>pol</t>
  </si>
  <si>
    <t>POL (ex-MATIC)</t>
  </si>
  <si>
    <t>bcap</t>
  </si>
  <si>
    <t>Blockchain Capital</t>
  </si>
  <si>
    <t>ena</t>
  </si>
  <si>
    <t>Ethena</t>
  </si>
  <si>
    <t>kas</t>
  </si>
  <si>
    <t>Kaspa</t>
  </si>
  <si>
    <t>wld</t>
  </si>
  <si>
    <t>Worldcoin</t>
  </si>
  <si>
    <t>nexo</t>
  </si>
  <si>
    <t>NEXO</t>
  </si>
  <si>
    <t>stable</t>
  </si>
  <si>
    <t>​​Stable</t>
  </si>
  <si>
    <t>jst</t>
  </si>
  <si>
    <t>JUST</t>
  </si>
  <si>
    <t>apt</t>
  </si>
  <si>
    <t>Aptos</t>
  </si>
  <si>
    <t>vvv</t>
  </si>
  <si>
    <t>Venice Token</t>
  </si>
  <si>
    <t>fil</t>
  </si>
  <si>
    <t>Filecoin</t>
  </si>
  <si>
    <t>gt</t>
  </si>
  <si>
    <t>Gate</t>
  </si>
  <si>
    <t>flr</t>
  </si>
  <si>
    <t>Flare</t>
  </si>
  <si>
    <t>xdc</t>
  </si>
  <si>
    <t>XDC Network</t>
  </si>
  <si>
    <t>jup</t>
  </si>
  <si>
    <t>Jupiter</t>
  </si>
  <si>
    <t>arb</t>
  </si>
  <si>
    <t>Arbitrum</t>
  </si>
  <si>
    <t>pump</t>
  </si>
  <si>
    <t>Pump.fun</t>
  </si>
  <si>
    <t>dexe</t>
  </si>
  <si>
    <t>DeXe</t>
  </si>
  <si>
    <t>dash</t>
  </si>
  <si>
    <t>Dash</t>
  </si>
  <si>
    <t>bdx</t>
  </si>
  <si>
    <t>Beldex</t>
  </si>
  <si>
    <t>pengu</t>
  </si>
  <si>
    <t>Pudgy Penguins</t>
  </si>
  <si>
    <t>gho</t>
  </si>
  <si>
    <t>GHO</t>
  </si>
  <si>
    <t>vet</t>
  </si>
  <si>
    <t>VeChain</t>
  </si>
  <si>
    <t>ousg</t>
  </si>
  <si>
    <t>OUSG</t>
  </si>
  <si>
    <t>usd0</t>
  </si>
  <si>
    <t>Usual USD</t>
  </si>
  <si>
    <t>bonk</t>
  </si>
  <si>
    <t>Bonk</t>
  </si>
  <si>
    <t>kite</t>
  </si>
  <si>
    <t>Kite</t>
  </si>
  <si>
    <t>hash</t>
  </si>
  <si>
    <t>Provenance Blockchain</t>
  </si>
  <si>
    <t>a7a5</t>
  </si>
  <si>
    <t>A7A5</t>
  </si>
  <si>
    <t>ylds</t>
  </si>
  <si>
    <t>YLDS</t>
  </si>
  <si>
    <t>night</t>
  </si>
  <si>
    <t>Midnight</t>
  </si>
  <si>
    <t>tusd</t>
  </si>
  <si>
    <t>TrueUSD</t>
  </si>
  <si>
    <t>inj</t>
  </si>
  <si>
    <t>Injective</t>
  </si>
  <si>
    <t>apxusd</t>
  </si>
  <si>
    <t>apxUSD</t>
  </si>
  <si>
    <t>edge</t>
  </si>
  <si>
    <t>edgeX</t>
  </si>
  <si>
    <t>trump</t>
  </si>
  <si>
    <t>Official Trump</t>
  </si>
  <si>
    <t>virtual</t>
  </si>
  <si>
    <t>Virtuals Protocol</t>
  </si>
  <si>
    <t>cake</t>
  </si>
  <si>
    <t>PancakeSwap</t>
  </si>
  <si>
    <t>h</t>
  </si>
  <si>
    <t>Humanity</t>
  </si>
  <si>
    <t>stx</t>
  </si>
  <si>
    <t>Stacks</t>
  </si>
  <si>
    <t>chz</t>
  </si>
  <si>
    <t>Chiliz</t>
  </si>
  <si>
    <t>币安人生</t>
  </si>
  <si>
    <t>币安人生 (BinanceLife)</t>
  </si>
  <si>
    <t>fet</t>
  </si>
  <si>
    <t>Artificial Superintelligence Alliance</t>
  </si>
  <si>
    <t>eurc</t>
  </si>
  <si>
    <t>EURC</t>
  </si>
  <si>
    <t>jaaa</t>
  </si>
  <si>
    <t>Janus Henderson Anemoy AAA CLO Fund</t>
  </si>
  <si>
    <t>lunc</t>
  </si>
  <si>
    <t>Terra Luna Classic</t>
  </si>
  <si>
    <t>eursafo</t>
  </si>
  <si>
    <t>Spiko Amundi Overnight Swap Fund (EUR)</t>
  </si>
  <si>
    <t>sei</t>
  </si>
  <si>
    <t>Sei</t>
  </si>
  <si>
    <t>adi</t>
  </si>
  <si>
    <t>ADI</t>
  </si>
  <si>
    <t>usx</t>
  </si>
  <si>
    <t>USX</t>
  </si>
  <si>
    <t>aero</t>
  </si>
  <si>
    <t>Aerodrome Finance</t>
  </si>
  <si>
    <t>sun</t>
  </si>
  <si>
    <t>Sun Token</t>
  </si>
  <si>
    <t>2z</t>
  </si>
  <si>
    <t>DoubleZero</t>
  </si>
  <si>
    <t>xtz</t>
  </si>
  <si>
    <t>Tezos</t>
  </si>
  <si>
    <t>fdusd</t>
  </si>
  <si>
    <t>First Digital USD</t>
  </si>
  <si>
    <t>siren</t>
  </si>
  <si>
    <t>Siren</t>
  </si>
  <si>
    <t>tia</t>
  </si>
  <si>
    <t>Celestia</t>
  </si>
  <si>
    <t>nex</t>
  </si>
  <si>
    <t>Nexus</t>
  </si>
  <si>
    <t>spx</t>
  </si>
  <si>
    <t>SPX6900</t>
  </si>
  <si>
    <t>crv</t>
  </si>
  <si>
    <t>Curve DAO</t>
  </si>
  <si>
    <t>lit</t>
  </si>
  <si>
    <t>Lighter</t>
  </si>
  <si>
    <t>zro</t>
  </si>
  <si>
    <t>LayerZero</t>
  </si>
  <si>
    <t>kau</t>
  </si>
  <si>
    <t>Kinesis Gold</t>
  </si>
  <si>
    <t>skyai</t>
  </si>
  <si>
    <t>SkyAI</t>
  </si>
  <si>
    <t>ethfi</t>
  </si>
  <si>
    <t>Ether.fi</t>
  </si>
  <si>
    <t>lab</t>
  </si>
  <si>
    <t>LAB</t>
  </si>
  <si>
    <t>usdgo</t>
  </si>
  <si>
    <t>USDGO</t>
  </si>
  <si>
    <t>pyth</t>
  </si>
  <si>
    <t>Pyth Network</t>
  </si>
  <si>
    <t>9bit</t>
  </si>
  <si>
    <t>The9bit</t>
  </si>
  <si>
    <t>mon</t>
  </si>
  <si>
    <t>Monad</t>
  </si>
  <si>
    <t>btt</t>
  </si>
  <si>
    <t>BitTorrent</t>
  </si>
  <si>
    <t>pendle</t>
  </si>
  <si>
    <t>Pendle</t>
  </si>
  <si>
    <t>gno</t>
  </si>
  <si>
    <t>Gnosis</t>
  </si>
  <si>
    <t>kaia</t>
  </si>
  <si>
    <t>Kaia</t>
  </si>
  <si>
    <t>prime</t>
  </si>
  <si>
    <t>PRIME</t>
  </si>
  <si>
    <t>ldo</t>
  </si>
  <si>
    <t>Lido DAO</t>
  </si>
  <si>
    <t>dcr</t>
  </si>
  <si>
    <t>Decred</t>
  </si>
  <si>
    <t>bsv</t>
  </si>
  <si>
    <t>Bitcoin SV</t>
  </si>
  <si>
    <t>b</t>
  </si>
  <si>
    <t>BUILDon</t>
  </si>
  <si>
    <t>cfx</t>
  </si>
  <si>
    <t>Conflux</t>
  </si>
  <si>
    <t>tel</t>
  </si>
  <si>
    <t>Telcoin</t>
  </si>
  <si>
    <t>floki</t>
  </si>
  <si>
    <t>FLOKI</t>
  </si>
  <si>
    <t>zbcn</t>
  </si>
  <si>
    <t>Zebec Network</t>
  </si>
  <si>
    <t>usdai</t>
  </si>
  <si>
    <t>USDai</t>
  </si>
  <si>
    <t>jasmy</t>
  </si>
  <si>
    <t>JasmyCoin</t>
  </si>
  <si>
    <t>ohm</t>
  </si>
  <si>
    <t>Olympus</t>
  </si>
  <si>
    <t>kag</t>
  </si>
  <si>
    <t>Kinesis Silver</t>
  </si>
  <si>
    <t>nft</t>
  </si>
  <si>
    <t>AINFT</t>
  </si>
  <si>
    <t>strk</t>
  </si>
  <si>
    <t>Starknet</t>
  </si>
  <si>
    <t>op</t>
  </si>
  <si>
    <t>Optimism</t>
  </si>
  <si>
    <t>grt</t>
  </si>
  <si>
    <t>The Graph</t>
  </si>
  <si>
    <t>frax</t>
  </si>
  <si>
    <t>Legacy Frax Dollar</t>
  </si>
  <si>
    <t>gwei</t>
  </si>
  <si>
    <t>ETHGas</t>
  </si>
  <si>
    <t>ens</t>
  </si>
  <si>
    <t>Ethereum Name Service</t>
  </si>
  <si>
    <t>ub</t>
  </si>
  <si>
    <t>Unibase</t>
  </si>
  <si>
    <t>iota</t>
  </si>
  <si>
    <t>IOTA</t>
  </si>
  <si>
    <t>rusd</t>
  </si>
  <si>
    <t>Royal Dollar</t>
  </si>
  <si>
    <t>usdm</t>
  </si>
  <si>
    <t>MegaUSD</t>
  </si>
  <si>
    <t>apepe</t>
  </si>
  <si>
    <t>Ape and Pepe</t>
  </si>
  <si>
    <t>jto</t>
  </si>
  <si>
    <t>Jito</t>
  </si>
  <si>
    <t>syrup</t>
  </si>
  <si>
    <t>Maple Finance</t>
  </si>
  <si>
    <t>real</t>
  </si>
  <si>
    <t>RealLink</t>
  </si>
  <si>
    <t>akt</t>
  </si>
  <si>
    <t>Akash Network</t>
  </si>
  <si>
    <t>crvusd</t>
  </si>
  <si>
    <t>crvUSD</t>
  </si>
  <si>
    <t>comp</t>
  </si>
  <si>
    <t>Compound</t>
  </si>
  <si>
    <t>xpl</t>
  </si>
  <si>
    <t>Plasma</t>
  </si>
  <si>
    <t>usda</t>
  </si>
  <si>
    <t>USDa</t>
  </si>
  <si>
    <t>ff</t>
  </si>
  <si>
    <t>Falcon Finance</t>
  </si>
  <si>
    <t>axs</t>
  </si>
  <si>
    <t>Axie Infinity</t>
  </si>
  <si>
    <t>bsb</t>
  </si>
  <si>
    <t>Block Street</t>
  </si>
  <si>
    <t>ray</t>
  </si>
  <si>
    <t>Raydium</t>
  </si>
  <si>
    <t>neo</t>
  </si>
  <si>
    <t>NEO</t>
  </si>
  <si>
    <t>grass</t>
  </si>
  <si>
    <t>Grass</t>
  </si>
  <si>
    <t>theta</t>
  </si>
  <si>
    <t>Theta Network</t>
  </si>
  <si>
    <t>pc0000031</t>
  </si>
  <si>
    <t>Tradable NA Rent Financing Platform SSTN</t>
  </si>
  <si>
    <t>pieverse</t>
  </si>
  <si>
    <t>Pieverse</t>
  </si>
  <si>
    <t>bill</t>
  </si>
  <si>
    <t>Billions Network</t>
  </si>
  <si>
    <t>wif</t>
  </si>
  <si>
    <t>dogwifhat</t>
  </si>
  <si>
    <t>trac</t>
  </si>
  <si>
    <t>OriginTrail</t>
  </si>
  <si>
    <t>sand</t>
  </si>
  <si>
    <t>The Sandbox</t>
  </si>
  <si>
    <t>twt</t>
  </si>
  <si>
    <t>Trust Wallet</t>
  </si>
  <si>
    <t>fartcoin</t>
  </si>
  <si>
    <t>Fartcoin</t>
  </si>
  <si>
    <t>uds</t>
  </si>
  <si>
    <t>Undeads Games</t>
  </si>
  <si>
    <t>btse</t>
  </si>
  <si>
    <t>BTSE Token</t>
  </si>
  <si>
    <t>xcn</t>
  </si>
  <si>
    <t>Onyxcoin</t>
  </si>
  <si>
    <t>reusd</t>
  </si>
  <si>
    <t>Re Protocol reUSD</t>
  </si>
  <si>
    <t>apyusd</t>
  </si>
  <si>
    <t>apyUSD</t>
  </si>
  <si>
    <t>onyc</t>
  </si>
  <si>
    <t>Onchain Yield 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</si>
</sst>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86D962-B4AA-4E3A-82D7-444FFA548891}" autoFormatId="16" applyNumberFormats="0" applyBorderFormats="0" applyFontFormats="0" applyPatternFormats="0" applyAlignmentFormats="0" applyWidthHeightFormats="0">
  <queryTableRefresh nextId="19" unboundColumnsRight="8">
    <queryTableFields count="17">
      <queryTableField id="1" name="symbol" tableColumnId="1"/>
      <queryTableField id="2" name="name" tableColumnId="2"/>
      <queryTableField id="3" name="current_price" tableColumnId="3"/>
      <queryTableField id="4" name="market_cap" tableColumnId="4"/>
      <queryTableField id="5" name="total_volume" tableColumnId="5"/>
      <queryTableField id="6" name="price_change_percentage_24h" tableColumnId="6"/>
      <queryTableField id="7" name="circulating_supply" tableColumnId="7"/>
      <queryTableField id="8" name="price_change_percentage_1h_in_currency" tableColumnId="8"/>
      <queryTableField id="9" name="price_change_percentage_7d_in_currency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8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A0E6-4CEA-4AA0-9EDF-46EB2B91BF24}" name="markets?vs_currency_usd_order_market_cap_desc_per_page_200_page_1_sparkline_fals3" displayName="markets?vs_currency_usd_order_market_cap_desc_per_page_200_page_1_sparkline_fals3" ref="A1:Q201" tableType="queryTable" totalsRowShown="0">
  <autoFilter ref="A1:Q201" xr:uid="{967BA0E6-4CEA-4AA0-9EDF-46EB2B91BF24}"/>
  <tableColumns count="17">
    <tableColumn id="1" xr3:uid="{302782E5-3BC1-4629-A73D-4B23A26F41EC}" uniqueName="1" name="Symbol" queryTableFieldId="1" dataDxfId="8"/>
    <tableColumn id="2" xr3:uid="{FB7EF4F4-B6AB-4B10-B452-EAE6DA65F61F}" uniqueName="2" name="Name" queryTableFieldId="2"/>
    <tableColumn id="3" xr3:uid="{C6FA7D4A-98D2-4C8E-A358-DF19717AFF39}" uniqueName="3" name="Current_price" queryTableFieldId="3"/>
    <tableColumn id="4" xr3:uid="{06CCFACA-79CE-4A67-86C8-104C5EA08437}" uniqueName="4" name="Market_cap" queryTableFieldId="4"/>
    <tableColumn id="5" xr3:uid="{79101E57-9C2C-40EE-8573-0763CC587F5B}" uniqueName="5" name="Volume_24h" queryTableFieldId="5"/>
    <tableColumn id="6" xr3:uid="{E88CF1FE-13BF-4AF0-8AFF-122B5E04FC28}" uniqueName="6" name="Change_24h" queryTableFieldId="6"/>
    <tableColumn id="7" xr3:uid="{1B37DA75-8147-4E83-BCE8-81FC23C6355A}" uniqueName="7" name="Circulating_supply" queryTableFieldId="7"/>
    <tableColumn id="8" xr3:uid="{DA565452-7A30-48EB-848F-AAE51202C830}" uniqueName="8" name="Change_1h" queryTableFieldId="8"/>
    <tableColumn id="9" xr3:uid="{9946ED6B-9510-49F9-B45E-F1D35429565A}" uniqueName="9" name="Change_7d" queryTableFieldId="9"/>
    <tableColumn id="10" xr3:uid="{C47C696A-F11D-44F3-8BB2-B769DCB1150D}" uniqueName="10" name="First_Letter" queryTableFieldId="10" dataDxfId="7">
      <calculatedColumnFormula>LEFT(B2,1)</calculatedColumnFormula>
    </tableColumn>
    <tableColumn id="11" xr3:uid="{E2B5CA68-3F66-496E-8AF9-8C6E8CAD7513}" uniqueName="11" name="Valid_Start" queryTableFieldId="11" dataDxfId="6">
      <calculatedColumnFormula>OR(J2="A",J2="E",J2="I",J2="O",J2="U",J2="B",J2="C",J2="D")</calculatedColumnFormula>
    </tableColumn>
    <tableColumn id="12" xr3:uid="{B671EC56-6F60-4C60-A6B0-44324C8C0F6D}" uniqueName="12" name="Price_Group" queryTableFieldId="12" dataDxfId="5">
      <calculatedColumnFormula>IF(C2&lt;=0.05,"0-0.05",IF(C2&lt;=0.5,"0.05-0.5",IF(C2&lt;=5,"0.5-5",IF(C2&lt;=50,"5-50","&gt;50"))))</calculatedColumnFormula>
    </tableColumn>
    <tableColumn id="13" xr3:uid="{675B52E1-95A1-42A0-8631-B8BF7C13D2FA}" uniqueName="13" name="Avg_Downfall" queryTableFieldId="13" dataDxfId="4">
      <calculatedColumnFormula>ABS(AVERAGE(G2,H2,I2))</calculatedColumnFormula>
    </tableColumn>
    <tableColumn id="14" xr3:uid="{C110BE95-1D38-4D70-85E9-3359C79B342B}" uniqueName="14" name="Price_Group_Task3" queryTableFieldId="14" dataDxfId="3">
      <calculatedColumnFormula>IF(C2&lt;=50,"0-50","&gt;50")</calculatedColumnFormula>
    </tableColumn>
    <tableColumn id="15" xr3:uid="{C45C4854-9476-4B60-A53A-9BB32FE4BF3F}" uniqueName="15" name="Price_Filter_Task4" queryTableFieldId="15" dataDxfId="2"/>
    <tableColumn id="16" xr3:uid="{DB117769-7F20-4439-96B1-2BB7DCC42024}" uniqueName="16" name="Previous_1h_Price" queryTableFieldId="16" dataDxfId="1">
      <calculatedColumnFormula>C2/(1+(H2/100))</calculatedColumnFormula>
    </tableColumn>
    <tableColumn id="17" xr3:uid="{6AE3C0AF-B1F7-4A3C-9DBC-60BFE659A8C0}" uniqueName="17" name="Price_Change" queryTableFieldId="18" dataDxfId="0">
      <calculatedColumnFormula>C2-P2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D49B-0225-49D1-9E6B-ABFBD4E6C966}">
  <dimension ref="A1:Q201"/>
  <sheetViews>
    <sheetView tabSelected="1" workbookViewId="0">
      <selection activeCell="S7" sqref="S7"/>
    </sheetView>
  </sheetViews>
  <sheetFormatPr defaultRowHeight="14.4" x14ac:dyDescent="0.3"/>
  <sheetData>
    <row r="1" spans="1:17" ht="43.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2" t="s">
        <v>16</v>
      </c>
    </row>
    <row r="2" spans="1:17" x14ac:dyDescent="0.3">
      <c r="A2" s="1" t="s">
        <v>17</v>
      </c>
      <c r="B2" t="s">
        <v>18</v>
      </c>
      <c r="C2">
        <v>77625</v>
      </c>
      <c r="D2">
        <v>1555086049689</v>
      </c>
      <c r="E2">
        <v>27706270538</v>
      </c>
      <c r="F2">
        <v>0.27544999999999997</v>
      </c>
      <c r="G2">
        <v>20032296</v>
      </c>
      <c r="H2">
        <v>-0.26998955724195595</v>
      </c>
      <c r="I2">
        <v>-2.7081622791946165</v>
      </c>
      <c r="J2" t="str">
        <f t="shared" ref="J2:J65" si="0">LEFT(B2,1)</f>
        <v>B</v>
      </c>
      <c r="K2" t="b">
        <f t="shared" ref="K2:K65" si="1">OR(J2="A",J2="E",J2="I",J2="O",J2="U",J2="B",J2="C",J2="D")</f>
        <v>1</v>
      </c>
      <c r="L2" t="str">
        <f t="shared" ref="L2:L65" si="2">IF(C2&lt;=0.05,"0-0.05",IF(C2&lt;=0.5,"0.05-0.5",IF(C2&lt;=5,"0.5-5",IF(C2&lt;=50,"5-50","&gt;50"))))</f>
        <v>&gt;50</v>
      </c>
      <c r="M2">
        <f t="shared" ref="M2:M65" si="3">ABS(AVERAGE(G2,H2,I2))</f>
        <v>6677431.0072827218</v>
      </c>
      <c r="N2" t="str">
        <f t="shared" ref="N2:N65" si="4">IF(C2&lt;=50,"0-50","&gt;50")</f>
        <v>&gt;50</v>
      </c>
      <c r="O2" t="str">
        <f>IF(C2&lt;10,"Up to 10","&gt;=10")</f>
        <v>&gt;=10</v>
      </c>
      <c r="P2">
        <f t="shared" ref="P2:P65" si="5">C2/(1+(H2/100))</f>
        <v>77835.146768137929</v>
      </c>
      <c r="Q2">
        <f t="shared" ref="Q2:Q65" si="6">C2-P2</f>
        <v>-210.14676813792903</v>
      </c>
    </row>
    <row r="3" spans="1:17" x14ac:dyDescent="0.3">
      <c r="A3" s="1" t="s">
        <v>19</v>
      </c>
      <c r="B3" t="s">
        <v>20</v>
      </c>
      <c r="C3">
        <v>2127.3200000000002</v>
      </c>
      <c r="D3">
        <v>256742909305</v>
      </c>
      <c r="E3">
        <v>11467644219</v>
      </c>
      <c r="F3">
        <v>-2.0459999999999999E-2</v>
      </c>
      <c r="G3">
        <v>120685618.4990976</v>
      </c>
      <c r="H3">
        <v>-0.35164690734941828</v>
      </c>
      <c r="I3">
        <v>-6.0984806126137565</v>
      </c>
      <c r="J3" t="str">
        <f t="shared" si="0"/>
        <v>E</v>
      </c>
      <c r="K3" t="b">
        <f t="shared" si="1"/>
        <v>1</v>
      </c>
      <c r="L3" t="str">
        <f t="shared" si="2"/>
        <v>&gt;50</v>
      </c>
      <c r="M3">
        <f t="shared" si="3"/>
        <v>40228537.349656694</v>
      </c>
      <c r="N3" t="str">
        <f t="shared" si="4"/>
        <v>&gt;50</v>
      </c>
      <c r="O3" t="str">
        <f>IF(C2&lt;10,"Up to 10","&gt;=10")</f>
        <v>&gt;=10</v>
      </c>
      <c r="P3">
        <f t="shared" si="5"/>
        <v>2134.8270533102245</v>
      </c>
      <c r="Q3">
        <f t="shared" si="6"/>
        <v>-7.5070533102243644</v>
      </c>
    </row>
    <row r="4" spans="1:17" x14ac:dyDescent="0.3">
      <c r="A4" s="1" t="s">
        <v>21</v>
      </c>
      <c r="B4" t="s">
        <v>22</v>
      </c>
      <c r="C4">
        <v>0.99902000000000002</v>
      </c>
      <c r="D4">
        <v>189656929329</v>
      </c>
      <c r="E4">
        <v>50796303933</v>
      </c>
      <c r="F4">
        <v>1.1050000000000001E-2</v>
      </c>
      <c r="G4">
        <v>189842359508.68381</v>
      </c>
      <c r="H4">
        <v>-1.9520477448468752E-4</v>
      </c>
      <c r="I4">
        <v>-4.4205563985474129E-2</v>
      </c>
      <c r="J4" t="str">
        <f t="shared" si="0"/>
        <v>T</v>
      </c>
      <c r="K4" t="b">
        <f t="shared" si="1"/>
        <v>0</v>
      </c>
      <c r="L4" t="str">
        <f t="shared" si="2"/>
        <v>0.5-5</v>
      </c>
      <c r="M4">
        <f t="shared" si="3"/>
        <v>63280786502.879799</v>
      </c>
      <c r="N4" t="str">
        <f t="shared" si="4"/>
        <v>0-50</v>
      </c>
      <c r="O4" t="str">
        <f t="shared" ref="O4:O67" si="7">IF(C3&lt;10,"Up to 10","&gt;=10")</f>
        <v>&gt;=10</v>
      </c>
      <c r="P4">
        <f t="shared" si="5"/>
        <v>0.99902195013854489</v>
      </c>
      <c r="Q4">
        <f t="shared" si="6"/>
        <v>-1.9501385448705832E-6</v>
      </c>
    </row>
    <row r="5" spans="1:17" x14ac:dyDescent="0.3">
      <c r="A5" s="1" t="s">
        <v>23</v>
      </c>
      <c r="B5" t="s">
        <v>24</v>
      </c>
      <c r="C5">
        <v>652.91</v>
      </c>
      <c r="D5">
        <v>87990533731</v>
      </c>
      <c r="E5">
        <v>621619496</v>
      </c>
      <c r="F5">
        <v>1.47464</v>
      </c>
      <c r="G5">
        <v>134785126.07999989</v>
      </c>
      <c r="H5">
        <v>-0.19746184012934381</v>
      </c>
      <c r="I5">
        <v>-2.9628913906440819</v>
      </c>
      <c r="J5" t="str">
        <f t="shared" si="0"/>
        <v>B</v>
      </c>
      <c r="K5" t="b">
        <f t="shared" si="1"/>
        <v>1</v>
      </c>
      <c r="L5" t="str">
        <f t="shared" si="2"/>
        <v>&gt;50</v>
      </c>
      <c r="M5">
        <f t="shared" si="3"/>
        <v>44928374.306548886</v>
      </c>
      <c r="N5" t="str">
        <f t="shared" si="4"/>
        <v>&gt;50</v>
      </c>
      <c r="O5" t="str">
        <f t="shared" si="7"/>
        <v>Up to 10</v>
      </c>
      <c r="P5">
        <f t="shared" si="5"/>
        <v>654.20179891028749</v>
      </c>
      <c r="Q5">
        <f t="shared" si="6"/>
        <v>-1.2917989102875254</v>
      </c>
    </row>
    <row r="6" spans="1:17" x14ac:dyDescent="0.3">
      <c r="A6" s="1" t="s">
        <v>25</v>
      </c>
      <c r="B6" t="s">
        <v>26</v>
      </c>
      <c r="C6">
        <v>1.37</v>
      </c>
      <c r="D6">
        <v>84979941132</v>
      </c>
      <c r="E6">
        <v>1470380370</v>
      </c>
      <c r="F6">
        <v>0.25681999999999999</v>
      </c>
      <c r="G6">
        <v>61829045420</v>
      </c>
      <c r="H6">
        <v>-0.3644693030301106</v>
      </c>
      <c r="I6">
        <v>-4.1430433482969358</v>
      </c>
      <c r="J6" t="str">
        <f t="shared" si="0"/>
        <v>X</v>
      </c>
      <c r="K6" t="b">
        <f t="shared" si="1"/>
        <v>0</v>
      </c>
      <c r="L6" t="str">
        <f t="shared" si="2"/>
        <v>0.5-5</v>
      </c>
      <c r="M6">
        <f t="shared" si="3"/>
        <v>20609681805.164162</v>
      </c>
      <c r="N6" t="str">
        <f t="shared" si="4"/>
        <v>0-50</v>
      </c>
      <c r="O6" t="str">
        <f t="shared" si="7"/>
        <v>&gt;=10</v>
      </c>
      <c r="P6">
        <f t="shared" si="5"/>
        <v>1.3750114948117242</v>
      </c>
      <c r="Q6">
        <f t="shared" si="6"/>
        <v>-5.0114948117241376E-3</v>
      </c>
    </row>
    <row r="7" spans="1:17" x14ac:dyDescent="0.3">
      <c r="A7" s="1" t="s">
        <v>27</v>
      </c>
      <c r="B7" t="s">
        <v>28</v>
      </c>
      <c r="C7">
        <v>0.99968699999999999</v>
      </c>
      <c r="D7">
        <v>76175765204</v>
      </c>
      <c r="E7">
        <v>12637332810</v>
      </c>
      <c r="F7">
        <v>-3.7499999999999999E-3</v>
      </c>
      <c r="G7">
        <v>76198413148.080017</v>
      </c>
      <c r="H7">
        <v>-5.64363787272031E-4</v>
      </c>
      <c r="I7">
        <v>-1.6003052324647926E-3</v>
      </c>
      <c r="J7" t="str">
        <f t="shared" si="0"/>
        <v>U</v>
      </c>
      <c r="K7" t="b">
        <f t="shared" si="1"/>
        <v>1</v>
      </c>
      <c r="L7" t="str">
        <f t="shared" si="2"/>
        <v>0.5-5</v>
      </c>
      <c r="M7">
        <f t="shared" si="3"/>
        <v>25399471049.359283</v>
      </c>
      <c r="N7" t="str">
        <f t="shared" si="4"/>
        <v>0-50</v>
      </c>
      <c r="O7" t="str">
        <f t="shared" si="7"/>
        <v>Up to 10</v>
      </c>
      <c r="P7">
        <f t="shared" si="5"/>
        <v>0.99969264190325491</v>
      </c>
      <c r="Q7">
        <f t="shared" si="6"/>
        <v>-5.6419032549159809E-6</v>
      </c>
    </row>
    <row r="8" spans="1:17" x14ac:dyDescent="0.3">
      <c r="A8" s="1" t="s">
        <v>29</v>
      </c>
      <c r="B8" t="s">
        <v>30</v>
      </c>
      <c r="C8">
        <v>86.45</v>
      </c>
      <c r="D8">
        <v>49959119159</v>
      </c>
      <c r="E8">
        <v>3111805213</v>
      </c>
      <c r="F8">
        <v>1.8313600000000001</v>
      </c>
      <c r="G8">
        <v>577862068.72740972</v>
      </c>
      <c r="H8">
        <v>-0.31254002498921779</v>
      </c>
      <c r="I8">
        <v>-5.0537460497648681</v>
      </c>
      <c r="J8" t="str">
        <f t="shared" si="0"/>
        <v>S</v>
      </c>
      <c r="K8" t="b">
        <f t="shared" si="1"/>
        <v>0</v>
      </c>
      <c r="L8" t="str">
        <f t="shared" si="2"/>
        <v>&gt;50</v>
      </c>
      <c r="M8">
        <f t="shared" si="3"/>
        <v>192620687.78704119</v>
      </c>
      <c r="N8" t="str">
        <f t="shared" si="4"/>
        <v>&gt;50</v>
      </c>
      <c r="O8" t="str">
        <f t="shared" si="7"/>
        <v>Up to 10</v>
      </c>
      <c r="P8">
        <f t="shared" si="5"/>
        <v>86.721037953691379</v>
      </c>
      <c r="Q8">
        <f t="shared" si="6"/>
        <v>-0.27103795369137629</v>
      </c>
    </row>
    <row r="9" spans="1:17" x14ac:dyDescent="0.3">
      <c r="A9" s="1" t="s">
        <v>31</v>
      </c>
      <c r="B9" t="s">
        <v>32</v>
      </c>
      <c r="C9">
        <v>0.36092299999999999</v>
      </c>
      <c r="D9">
        <v>34215005797</v>
      </c>
      <c r="E9">
        <v>515229030</v>
      </c>
      <c r="F9">
        <v>1.20871</v>
      </c>
      <c r="G9">
        <v>94804052384.574402</v>
      </c>
      <c r="H9">
        <v>0.39567427417631823</v>
      </c>
      <c r="I9">
        <v>2.6047322055623945</v>
      </c>
      <c r="J9" t="str">
        <f t="shared" si="0"/>
        <v>T</v>
      </c>
      <c r="K9" t="b">
        <f t="shared" si="1"/>
        <v>0</v>
      </c>
      <c r="L9" t="str">
        <f t="shared" si="2"/>
        <v>0.05-0.5</v>
      </c>
      <c r="M9">
        <f t="shared" si="3"/>
        <v>31601350795.858273</v>
      </c>
      <c r="N9" t="str">
        <f t="shared" si="4"/>
        <v>0-50</v>
      </c>
      <c r="O9" t="str">
        <f t="shared" si="7"/>
        <v>&gt;=10</v>
      </c>
      <c r="P9">
        <f t="shared" si="5"/>
        <v>0.35950054881282495</v>
      </c>
      <c r="Q9">
        <f t="shared" si="6"/>
        <v>1.4224511871750445E-3</v>
      </c>
    </row>
    <row r="10" spans="1:17" ht="28.8" x14ac:dyDescent="0.3">
      <c r="A10" s="1" t="s">
        <v>33</v>
      </c>
      <c r="B10" t="s">
        <v>34</v>
      </c>
      <c r="C10">
        <v>1.0349999999999999</v>
      </c>
      <c r="D10">
        <v>18595367647</v>
      </c>
      <c r="E10">
        <v>21994349</v>
      </c>
      <c r="F10">
        <v>0.28842000000000001</v>
      </c>
      <c r="G10">
        <v>17963209954.466999</v>
      </c>
      <c r="I10">
        <v>0.15266824030407483</v>
      </c>
      <c r="J10" t="str">
        <f t="shared" si="0"/>
        <v>F</v>
      </c>
      <c r="K10" t="b">
        <f t="shared" si="1"/>
        <v>0</v>
      </c>
      <c r="L10" t="str">
        <f t="shared" si="2"/>
        <v>0.5-5</v>
      </c>
      <c r="M10">
        <f t="shared" si="3"/>
        <v>8981604977.3098335</v>
      </c>
      <c r="N10" t="str">
        <f t="shared" si="4"/>
        <v>0-50</v>
      </c>
      <c r="O10" t="str">
        <f t="shared" si="7"/>
        <v>Up to 10</v>
      </c>
      <c r="P10">
        <f t="shared" si="5"/>
        <v>1.0349999999999999</v>
      </c>
      <c r="Q10">
        <f t="shared" si="6"/>
        <v>0</v>
      </c>
    </row>
    <row r="11" spans="1:17" x14ac:dyDescent="0.3">
      <c r="A11" s="1" t="s">
        <v>35</v>
      </c>
      <c r="B11" t="s">
        <v>36</v>
      </c>
      <c r="C11">
        <v>0.10519299999999999</v>
      </c>
      <c r="D11">
        <v>16230432513</v>
      </c>
      <c r="E11">
        <v>690699522</v>
      </c>
      <c r="F11">
        <v>1.5492300000000001</v>
      </c>
      <c r="G11">
        <v>154326586383.7052</v>
      </c>
      <c r="H11">
        <v>-0.46872006955437379</v>
      </c>
      <c r="I11">
        <v>-7.7199288742425418</v>
      </c>
      <c r="J11" t="str">
        <f t="shared" si="0"/>
        <v>D</v>
      </c>
      <c r="K11" t="b">
        <f t="shared" si="1"/>
        <v>1</v>
      </c>
      <c r="L11" t="str">
        <f t="shared" si="2"/>
        <v>0.05-0.5</v>
      </c>
      <c r="M11">
        <f t="shared" si="3"/>
        <v>51442195458.505516</v>
      </c>
      <c r="N11" t="str">
        <f t="shared" si="4"/>
        <v>0-50</v>
      </c>
      <c r="O11" t="str">
        <f t="shared" si="7"/>
        <v>Up to 10</v>
      </c>
      <c r="P11">
        <f t="shared" si="5"/>
        <v>0.1056883826607182</v>
      </c>
      <c r="Q11">
        <f t="shared" si="6"/>
        <v>-4.9538266071820491E-4</v>
      </c>
    </row>
    <row r="12" spans="1:17" x14ac:dyDescent="0.3">
      <c r="A12" s="1" t="s">
        <v>37</v>
      </c>
      <c r="B12" t="s">
        <v>38</v>
      </c>
      <c r="C12">
        <v>58.51</v>
      </c>
      <c r="D12">
        <v>13947374086</v>
      </c>
      <c r="E12">
        <v>1363799400</v>
      </c>
      <c r="F12">
        <v>19.842790000000001</v>
      </c>
      <c r="G12">
        <v>238385315.95414141</v>
      </c>
      <c r="H12">
        <v>-1.3318135406100259E-2</v>
      </c>
      <c r="I12">
        <v>49.695164804451998</v>
      </c>
      <c r="J12" t="str">
        <f t="shared" si="0"/>
        <v>H</v>
      </c>
      <c r="K12" t="b">
        <f t="shared" si="1"/>
        <v>0</v>
      </c>
      <c r="L12" t="str">
        <f t="shared" si="2"/>
        <v>&gt;50</v>
      </c>
      <c r="M12">
        <f t="shared" si="3"/>
        <v>79461788.545329362</v>
      </c>
      <c r="N12" t="str">
        <f t="shared" si="4"/>
        <v>&gt;50</v>
      </c>
      <c r="O12" t="str">
        <f t="shared" si="7"/>
        <v>Up to 10</v>
      </c>
      <c r="P12">
        <f t="shared" si="5"/>
        <v>58.517793478972195</v>
      </c>
      <c r="Q12">
        <f t="shared" si="6"/>
        <v>-7.7934789721965103E-3</v>
      </c>
    </row>
    <row r="13" spans="1:17" x14ac:dyDescent="0.3">
      <c r="A13" s="1" t="s">
        <v>39</v>
      </c>
      <c r="B13" t="s">
        <v>40</v>
      </c>
      <c r="C13">
        <v>57.18</v>
      </c>
      <c r="D13">
        <v>12170714508</v>
      </c>
      <c r="E13">
        <v>39478346</v>
      </c>
      <c r="F13">
        <v>8.9389999999999997E-2</v>
      </c>
      <c r="G13">
        <v>212858550</v>
      </c>
      <c r="H13">
        <v>-0.24685902293482925</v>
      </c>
      <c r="I13">
        <v>-2.6285246538914002</v>
      </c>
      <c r="J13" t="str">
        <f t="shared" si="0"/>
        <v>W</v>
      </c>
      <c r="K13" t="b">
        <f t="shared" si="1"/>
        <v>0</v>
      </c>
      <c r="L13" t="str">
        <f t="shared" si="2"/>
        <v>&gt;50</v>
      </c>
      <c r="M13">
        <f t="shared" si="3"/>
        <v>70952849.041538775</v>
      </c>
      <c r="N13" t="str">
        <f t="shared" si="4"/>
        <v>&gt;50</v>
      </c>
      <c r="O13" t="str">
        <f t="shared" si="7"/>
        <v>&gt;=10</v>
      </c>
      <c r="P13">
        <f t="shared" si="5"/>
        <v>57.321503302985306</v>
      </c>
      <c r="Q13">
        <f t="shared" si="6"/>
        <v>-0.14150330298530633</v>
      </c>
    </row>
    <row r="14" spans="1:17" x14ac:dyDescent="0.3">
      <c r="A14" s="1" t="s">
        <v>41</v>
      </c>
      <c r="B14" t="s">
        <v>42</v>
      </c>
      <c r="C14">
        <v>665.49</v>
      </c>
      <c r="D14">
        <v>11108254786</v>
      </c>
      <c r="E14">
        <v>1133038170</v>
      </c>
      <c r="F14">
        <v>13.32569</v>
      </c>
      <c r="G14">
        <v>16688225.1655448</v>
      </c>
      <c r="H14">
        <v>-9.4046672616777696E-2</v>
      </c>
      <c r="I14">
        <v>26.535394257960355</v>
      </c>
      <c r="J14" t="str">
        <f t="shared" si="0"/>
        <v>Z</v>
      </c>
      <c r="K14" t="b">
        <f t="shared" si="1"/>
        <v>0</v>
      </c>
      <c r="L14" t="str">
        <f t="shared" si="2"/>
        <v>&gt;50</v>
      </c>
      <c r="M14">
        <f t="shared" si="3"/>
        <v>5562750.5356307952</v>
      </c>
      <c r="N14" t="str">
        <f t="shared" si="4"/>
        <v>&gt;50</v>
      </c>
      <c r="O14" t="str">
        <f t="shared" si="7"/>
        <v>&gt;=10</v>
      </c>
      <c r="P14">
        <f t="shared" si="5"/>
        <v>666.11646036672755</v>
      </c>
      <c r="Q14">
        <f t="shared" si="6"/>
        <v>-0.62646036672754235</v>
      </c>
    </row>
    <row r="15" spans="1:17" x14ac:dyDescent="0.3">
      <c r="A15" s="1" t="s">
        <v>43</v>
      </c>
      <c r="B15" t="s">
        <v>44</v>
      </c>
      <c r="C15">
        <v>0.99964600000000003</v>
      </c>
      <c r="D15">
        <v>10712269912</v>
      </c>
      <c r="E15">
        <v>5045202</v>
      </c>
      <c r="F15">
        <v>5.0600000000000003E-3</v>
      </c>
      <c r="G15">
        <v>10715847313.454901</v>
      </c>
      <c r="H15">
        <v>2.6770289844031442E-3</v>
      </c>
      <c r="I15">
        <v>-2.4320300565846963E-2</v>
      </c>
      <c r="J15" t="str">
        <f t="shared" si="0"/>
        <v>U</v>
      </c>
      <c r="K15" t="b">
        <f t="shared" si="1"/>
        <v>1</v>
      </c>
      <c r="L15" t="str">
        <f t="shared" si="2"/>
        <v>0.5-5</v>
      </c>
      <c r="M15">
        <f t="shared" si="3"/>
        <v>3571949104.4777527</v>
      </c>
      <c r="N15" t="str">
        <f t="shared" si="4"/>
        <v>0-50</v>
      </c>
      <c r="O15" t="str">
        <f t="shared" si="7"/>
        <v>&gt;=10</v>
      </c>
      <c r="P15">
        <f t="shared" si="5"/>
        <v>0.99961923990321422</v>
      </c>
      <c r="Q15">
        <f t="shared" si="6"/>
        <v>2.6760096785816145E-5</v>
      </c>
    </row>
    <row r="16" spans="1:17" x14ac:dyDescent="0.3">
      <c r="A16" s="1" t="s">
        <v>45</v>
      </c>
      <c r="B16" t="s">
        <v>46</v>
      </c>
      <c r="C16">
        <v>10.06</v>
      </c>
      <c r="D16">
        <v>9263575427</v>
      </c>
      <c r="E16">
        <v>608974</v>
      </c>
      <c r="F16">
        <v>0.19786000000000001</v>
      </c>
      <c r="G16">
        <v>920578240.89999998</v>
      </c>
      <c r="H16">
        <v>-0.23917070692341913</v>
      </c>
      <c r="I16">
        <v>-0.71973090489243552</v>
      </c>
      <c r="J16" t="str">
        <f t="shared" si="0"/>
        <v>L</v>
      </c>
      <c r="K16" t="b">
        <f t="shared" si="1"/>
        <v>0</v>
      </c>
      <c r="L16" t="str">
        <f t="shared" si="2"/>
        <v>5-50</v>
      </c>
      <c r="M16">
        <f t="shared" si="3"/>
        <v>306859413.31369948</v>
      </c>
      <c r="N16" t="str">
        <f t="shared" si="4"/>
        <v>0-50</v>
      </c>
      <c r="O16" t="str">
        <f t="shared" si="7"/>
        <v>Up to 10</v>
      </c>
      <c r="P16">
        <f t="shared" si="5"/>
        <v>10.084118256922075</v>
      </c>
      <c r="Q16">
        <f t="shared" si="6"/>
        <v>-2.4118256922074366E-2</v>
      </c>
    </row>
    <row r="17" spans="1:17" x14ac:dyDescent="0.3">
      <c r="A17" s="1" t="s">
        <v>47</v>
      </c>
      <c r="B17" t="s">
        <v>48</v>
      </c>
      <c r="C17">
        <v>0.24875900000000001</v>
      </c>
      <c r="D17">
        <v>9203257550</v>
      </c>
      <c r="E17">
        <v>336057058</v>
      </c>
      <c r="F17">
        <v>-0.13300000000000001</v>
      </c>
      <c r="G17">
        <v>37001084154.715309</v>
      </c>
      <c r="H17">
        <v>-0.29343451903324225</v>
      </c>
      <c r="I17">
        <v>-6.1145290019070497</v>
      </c>
      <c r="J17" t="str">
        <f t="shared" si="0"/>
        <v>C</v>
      </c>
      <c r="K17" t="b">
        <f t="shared" si="1"/>
        <v>1</v>
      </c>
      <c r="L17" t="str">
        <f t="shared" si="2"/>
        <v>0.05-0.5</v>
      </c>
      <c r="M17">
        <f t="shared" si="3"/>
        <v>12333694716.102448</v>
      </c>
      <c r="N17" t="str">
        <f t="shared" si="4"/>
        <v>0-50</v>
      </c>
      <c r="O17" t="str">
        <f t="shared" si="7"/>
        <v>&gt;=10</v>
      </c>
      <c r="P17">
        <f t="shared" si="5"/>
        <v>0.24949109298874231</v>
      </c>
      <c r="Q17">
        <f t="shared" si="6"/>
        <v>-7.320929887423E-4</v>
      </c>
    </row>
    <row r="18" spans="1:17" x14ac:dyDescent="0.3">
      <c r="A18" s="1" t="s">
        <v>49</v>
      </c>
      <c r="B18" t="s">
        <v>50</v>
      </c>
      <c r="C18">
        <v>376.18</v>
      </c>
      <c r="D18">
        <v>7538216142</v>
      </c>
      <c r="E18">
        <v>374857426</v>
      </c>
      <c r="F18">
        <v>1.87476</v>
      </c>
      <c r="G18">
        <v>20037246.77165078</v>
      </c>
      <c r="H18">
        <v>-0.17884023367537646</v>
      </c>
      <c r="I18">
        <v>-13.292683780606673</v>
      </c>
      <c r="J18" t="str">
        <f t="shared" si="0"/>
        <v>B</v>
      </c>
      <c r="K18" t="b">
        <f t="shared" si="1"/>
        <v>1</v>
      </c>
      <c r="L18" t="str">
        <f t="shared" si="2"/>
        <v>&gt;50</v>
      </c>
      <c r="M18">
        <f t="shared" si="3"/>
        <v>6679077.7667089216</v>
      </c>
      <c r="N18" t="str">
        <f t="shared" si="4"/>
        <v>&gt;50</v>
      </c>
      <c r="O18" t="str">
        <f t="shared" si="7"/>
        <v>Up to 10</v>
      </c>
      <c r="P18">
        <f t="shared" si="5"/>
        <v>376.85396651432916</v>
      </c>
      <c r="Q18">
        <f t="shared" si="6"/>
        <v>-0.67396651432915178</v>
      </c>
    </row>
    <row r="19" spans="1:17" x14ac:dyDescent="0.3">
      <c r="A19" s="1" t="s">
        <v>51</v>
      </c>
      <c r="B19" t="s">
        <v>52</v>
      </c>
      <c r="C19">
        <v>402.63</v>
      </c>
      <c r="D19">
        <v>7424363923</v>
      </c>
      <c r="E19">
        <v>162041670</v>
      </c>
      <c r="F19">
        <v>1.17431</v>
      </c>
      <c r="G19">
        <v>18446744.073709551</v>
      </c>
      <c r="H19">
        <v>-0.35748960128909968</v>
      </c>
      <c r="I19">
        <v>1.9649242091725676</v>
      </c>
      <c r="J19" t="str">
        <f t="shared" si="0"/>
        <v>M</v>
      </c>
      <c r="K19" t="b">
        <f t="shared" si="1"/>
        <v>0</v>
      </c>
      <c r="L19" t="str">
        <f t="shared" si="2"/>
        <v>&gt;50</v>
      </c>
      <c r="M19">
        <f t="shared" si="3"/>
        <v>6148915.2270480534</v>
      </c>
      <c r="N19" t="str">
        <f t="shared" si="4"/>
        <v>&gt;50</v>
      </c>
      <c r="O19" t="str">
        <f t="shared" si="7"/>
        <v>&gt;=10</v>
      </c>
      <c r="P19">
        <f t="shared" si="5"/>
        <v>404.07452440621057</v>
      </c>
      <c r="Q19">
        <f t="shared" si="6"/>
        <v>-1.4445244062105758</v>
      </c>
    </row>
    <row r="20" spans="1:17" x14ac:dyDescent="0.3">
      <c r="A20" s="1" t="s">
        <v>53</v>
      </c>
      <c r="B20" t="s">
        <v>54</v>
      </c>
      <c r="C20">
        <v>9.6199999999999992</v>
      </c>
      <c r="D20">
        <v>6989035905</v>
      </c>
      <c r="E20">
        <v>299620032</v>
      </c>
      <c r="F20">
        <v>0.27684999999999998</v>
      </c>
      <c r="G20">
        <v>727099970.42554772</v>
      </c>
      <c r="H20">
        <v>-0.76263507813969977</v>
      </c>
      <c r="I20">
        <v>-6.3668807713147046</v>
      </c>
      <c r="J20" t="str">
        <f t="shared" si="0"/>
        <v>C</v>
      </c>
      <c r="K20" t="b">
        <f t="shared" si="1"/>
        <v>1</v>
      </c>
      <c r="L20" t="str">
        <f t="shared" si="2"/>
        <v>5-50</v>
      </c>
      <c r="M20">
        <f t="shared" si="3"/>
        <v>242366654.43201062</v>
      </c>
      <c r="N20" t="str">
        <f t="shared" si="4"/>
        <v>0-50</v>
      </c>
      <c r="O20" t="str">
        <f t="shared" si="7"/>
        <v>&gt;=10</v>
      </c>
      <c r="P20">
        <f t="shared" si="5"/>
        <v>9.6939293053325279</v>
      </c>
      <c r="Q20">
        <f t="shared" si="6"/>
        <v>-7.3929305332528727E-2</v>
      </c>
    </row>
    <row r="21" spans="1:17" x14ac:dyDescent="0.3">
      <c r="A21" s="1" t="s">
        <v>55</v>
      </c>
      <c r="B21" t="s">
        <v>56</v>
      </c>
      <c r="C21">
        <v>0.15551100000000001</v>
      </c>
      <c r="D21">
        <v>5995528680</v>
      </c>
      <c r="E21">
        <v>10426205</v>
      </c>
      <c r="F21">
        <v>4.1122899999999998</v>
      </c>
      <c r="G21">
        <v>38582169190.185722</v>
      </c>
      <c r="H21">
        <v>0.90759973187467158</v>
      </c>
      <c r="I21">
        <v>-1.4206524132835012</v>
      </c>
      <c r="J21" t="str">
        <f t="shared" si="0"/>
        <v>C</v>
      </c>
      <c r="K21" t="b">
        <f t="shared" si="1"/>
        <v>1</v>
      </c>
      <c r="L21" t="str">
        <f t="shared" si="2"/>
        <v>0.05-0.5</v>
      </c>
      <c r="M21">
        <f t="shared" si="3"/>
        <v>12860723063.224222</v>
      </c>
      <c r="N21" t="str">
        <f t="shared" si="4"/>
        <v>0-50</v>
      </c>
      <c r="O21" t="str">
        <f t="shared" si="7"/>
        <v>Up to 10</v>
      </c>
      <c r="P21">
        <f t="shared" si="5"/>
        <v>0.1541122773836798</v>
      </c>
      <c r="Q21">
        <f t="shared" si="6"/>
        <v>1.3987226163202082E-3</v>
      </c>
    </row>
    <row r="22" spans="1:17" x14ac:dyDescent="0.3">
      <c r="A22" s="1" t="s">
        <v>57</v>
      </c>
      <c r="B22" t="s">
        <v>58</v>
      </c>
      <c r="C22">
        <v>2.04</v>
      </c>
      <c r="D22">
        <v>5478469758</v>
      </c>
      <c r="E22">
        <v>342531714</v>
      </c>
      <c r="F22">
        <v>4.1837299999999997</v>
      </c>
      <c r="G22">
        <v>2692509486.4343681</v>
      </c>
      <c r="H22">
        <v>-0.84319713447796596</v>
      </c>
      <c r="I22">
        <v>-4.1933967248617057</v>
      </c>
      <c r="J22" t="str">
        <f t="shared" si="0"/>
        <v>T</v>
      </c>
      <c r="K22" t="b">
        <f t="shared" si="1"/>
        <v>0</v>
      </c>
      <c r="L22" t="str">
        <f t="shared" si="2"/>
        <v>0.5-5</v>
      </c>
      <c r="M22">
        <f t="shared" si="3"/>
        <v>897503160.46592474</v>
      </c>
      <c r="N22" t="str">
        <f t="shared" si="4"/>
        <v>0-50</v>
      </c>
      <c r="O22" t="str">
        <f t="shared" si="7"/>
        <v>Up to 10</v>
      </c>
      <c r="P22">
        <f t="shared" si="5"/>
        <v>2.0573474951251494</v>
      </c>
      <c r="Q22">
        <f t="shared" si="6"/>
        <v>-1.7347495125149326E-2</v>
      </c>
    </row>
    <row r="23" spans="1:17" x14ac:dyDescent="0.3">
      <c r="A23" s="1" t="s">
        <v>59</v>
      </c>
      <c r="B23" t="s">
        <v>60</v>
      </c>
      <c r="C23">
        <v>0.144819</v>
      </c>
      <c r="D23">
        <v>4853013681</v>
      </c>
      <c r="E23">
        <v>86499611</v>
      </c>
      <c r="F23">
        <v>1.5304199999999999</v>
      </c>
      <c r="G23">
        <v>33521234417.573471</v>
      </c>
      <c r="H23">
        <v>-0.58548653793091465</v>
      </c>
      <c r="I23">
        <v>-9.0729778300134019</v>
      </c>
      <c r="J23" t="str">
        <f t="shared" si="0"/>
        <v>S</v>
      </c>
      <c r="K23" t="b">
        <f t="shared" si="1"/>
        <v>0</v>
      </c>
      <c r="L23" t="str">
        <f t="shared" si="2"/>
        <v>0.05-0.5</v>
      </c>
      <c r="M23">
        <f t="shared" si="3"/>
        <v>11173744802.638334</v>
      </c>
      <c r="N23" t="str">
        <f t="shared" si="4"/>
        <v>0-50</v>
      </c>
      <c r="O23" t="str">
        <f t="shared" si="7"/>
        <v>Up to 10</v>
      </c>
      <c r="P23">
        <f t="shared" si="5"/>
        <v>0.14567188930140937</v>
      </c>
      <c r="Q23">
        <f t="shared" si="6"/>
        <v>-8.5288930140936525E-4</v>
      </c>
    </row>
    <row r="24" spans="1:17" x14ac:dyDescent="0.3">
      <c r="A24" s="1" t="s">
        <v>61</v>
      </c>
      <c r="B24" t="s">
        <v>62</v>
      </c>
      <c r="C24">
        <v>0.99992000000000003</v>
      </c>
      <c r="D24">
        <v>4670209950</v>
      </c>
      <c r="E24">
        <v>2185445563</v>
      </c>
      <c r="F24">
        <v>3.0000000000000001E-5</v>
      </c>
      <c r="G24">
        <v>4670526932.3875847</v>
      </c>
      <c r="H24">
        <v>1.1011117154098476E-3</v>
      </c>
      <c r="I24">
        <v>5.9678160215982982E-2</v>
      </c>
      <c r="J24" t="str">
        <f t="shared" si="0"/>
        <v>U</v>
      </c>
      <c r="K24" t="b">
        <f t="shared" si="1"/>
        <v>1</v>
      </c>
      <c r="L24" t="str">
        <f t="shared" si="2"/>
        <v>0.5-5</v>
      </c>
      <c r="M24">
        <f t="shared" si="3"/>
        <v>1556842310.8161213</v>
      </c>
      <c r="N24" t="str">
        <f t="shared" si="4"/>
        <v>0-50</v>
      </c>
      <c r="O24" t="str">
        <f t="shared" si="7"/>
        <v>Up to 10</v>
      </c>
      <c r="P24">
        <f t="shared" si="5"/>
        <v>0.99990898988496901</v>
      </c>
      <c r="Q24">
        <f t="shared" si="6"/>
        <v>1.1010115031018231E-5</v>
      </c>
    </row>
    <row r="25" spans="1:17" x14ac:dyDescent="0.3">
      <c r="A25" s="1" t="s">
        <v>63</v>
      </c>
      <c r="B25" t="s">
        <v>64</v>
      </c>
      <c r="C25">
        <v>0.99930799999999997</v>
      </c>
      <c r="D25">
        <v>4441849712</v>
      </c>
      <c r="E25">
        <v>57987782</v>
      </c>
      <c r="F25">
        <v>-1.5900000000000001E-2</v>
      </c>
      <c r="G25">
        <v>4445300708.1920414</v>
      </c>
      <c r="H25">
        <v>-2.3653087844086539E-3</v>
      </c>
      <c r="I25">
        <v>-9.3638872835028919E-2</v>
      </c>
      <c r="J25" t="str">
        <f t="shared" si="0"/>
        <v>E</v>
      </c>
      <c r="K25" t="b">
        <f t="shared" si="1"/>
        <v>1</v>
      </c>
      <c r="L25" t="str">
        <f t="shared" si="2"/>
        <v>0.5-5</v>
      </c>
      <c r="M25">
        <f t="shared" si="3"/>
        <v>1481766902.6986792</v>
      </c>
      <c r="N25" t="str">
        <f t="shared" si="4"/>
        <v>0-50</v>
      </c>
      <c r="O25" t="str">
        <f t="shared" si="7"/>
        <v>Up to 10</v>
      </c>
      <c r="P25">
        <f t="shared" si="5"/>
        <v>0.99933163727900198</v>
      </c>
      <c r="Q25">
        <f t="shared" si="6"/>
        <v>-2.363727900200896E-5</v>
      </c>
    </row>
    <row r="26" spans="1:17" x14ac:dyDescent="0.3">
      <c r="A26" s="1" t="s">
        <v>65</v>
      </c>
      <c r="B26" t="s">
        <v>66</v>
      </c>
      <c r="C26">
        <v>1.1100000000000001</v>
      </c>
      <c r="D26">
        <v>4438668582</v>
      </c>
      <c r="E26">
        <v>768028698</v>
      </c>
      <c r="F26">
        <v>4.5434099999999997</v>
      </c>
      <c r="G26">
        <v>4005418369.566699</v>
      </c>
      <c r="H26">
        <v>-1.5169068696385468</v>
      </c>
      <c r="I26">
        <v>-7.1601519320704128</v>
      </c>
      <c r="J26" t="str">
        <f t="shared" si="0"/>
        <v>S</v>
      </c>
      <c r="K26" t="b">
        <f t="shared" si="1"/>
        <v>0</v>
      </c>
      <c r="L26" t="str">
        <f t="shared" si="2"/>
        <v>0.5-5</v>
      </c>
      <c r="M26">
        <f t="shared" si="3"/>
        <v>1335139453.6298802</v>
      </c>
      <c r="N26" t="str">
        <f t="shared" si="4"/>
        <v>0-50</v>
      </c>
      <c r="O26" t="str">
        <f t="shared" si="7"/>
        <v>Up to 10</v>
      </c>
      <c r="P26">
        <f t="shared" si="5"/>
        <v>1.1270970120025576</v>
      </c>
      <c r="Q26">
        <f t="shared" si="6"/>
        <v>-1.7097012002557532E-2</v>
      </c>
    </row>
    <row r="27" spans="1:17" x14ac:dyDescent="0.3">
      <c r="A27" s="1" t="s">
        <v>67</v>
      </c>
      <c r="B27" t="s">
        <v>68</v>
      </c>
      <c r="C27">
        <v>0.99981900000000001</v>
      </c>
      <c r="D27">
        <v>4351982961</v>
      </c>
      <c r="E27">
        <v>205494148</v>
      </c>
      <c r="F27">
        <v>1.8280000000000001E-2</v>
      </c>
      <c r="G27">
        <v>4352768249.8514957</v>
      </c>
      <c r="H27">
        <v>8.3625673943511487E-4</v>
      </c>
      <c r="I27">
        <v>2.9514382424712448E-2</v>
      </c>
      <c r="J27" t="str">
        <f t="shared" si="0"/>
        <v>D</v>
      </c>
      <c r="K27" t="b">
        <f t="shared" si="1"/>
        <v>1</v>
      </c>
      <c r="L27" t="str">
        <f t="shared" si="2"/>
        <v>0.5-5</v>
      </c>
      <c r="M27">
        <f t="shared" si="3"/>
        <v>1450922749.9606154</v>
      </c>
      <c r="N27" t="str">
        <f t="shared" si="4"/>
        <v>0-50</v>
      </c>
      <c r="O27" t="str">
        <f t="shared" si="7"/>
        <v>Up to 10</v>
      </c>
      <c r="P27">
        <f t="shared" si="5"/>
        <v>0.99981063901614964</v>
      </c>
      <c r="Q27">
        <f t="shared" si="6"/>
        <v>8.3609838503750922E-6</v>
      </c>
    </row>
    <row r="28" spans="1:17" x14ac:dyDescent="0.3">
      <c r="A28" s="1" t="s">
        <v>69</v>
      </c>
      <c r="B28" t="s">
        <v>70</v>
      </c>
      <c r="C28">
        <v>54.03</v>
      </c>
      <c r="D28">
        <v>4171507646</v>
      </c>
      <c r="E28">
        <v>225286543</v>
      </c>
      <c r="F28">
        <v>-9.3060000000000004E-2</v>
      </c>
      <c r="G28">
        <v>77186520.733471349</v>
      </c>
      <c r="H28">
        <v>-0.62285887553227504</v>
      </c>
      <c r="I28">
        <v>-5.3993416501327403</v>
      </c>
      <c r="J28" t="str">
        <f t="shared" si="0"/>
        <v>L</v>
      </c>
      <c r="K28" t="b">
        <f t="shared" si="1"/>
        <v>0</v>
      </c>
      <c r="L28" t="str">
        <f t="shared" si="2"/>
        <v>&gt;50</v>
      </c>
      <c r="M28">
        <f t="shared" si="3"/>
        <v>25728838.237090275</v>
      </c>
      <c r="N28" t="str">
        <f t="shared" si="4"/>
        <v>&gt;50</v>
      </c>
      <c r="O28" t="str">
        <f t="shared" si="7"/>
        <v>Up to 10</v>
      </c>
      <c r="P28">
        <f t="shared" si="5"/>
        <v>54.368639899117838</v>
      </c>
      <c r="Q28">
        <f t="shared" si="6"/>
        <v>-0.33863989911783676</v>
      </c>
    </row>
    <row r="29" spans="1:17" x14ac:dyDescent="0.3">
      <c r="A29" s="1" t="s">
        <v>71</v>
      </c>
      <c r="B29" t="s">
        <v>72</v>
      </c>
      <c r="C29">
        <v>9.4</v>
      </c>
      <c r="D29">
        <v>4055847507</v>
      </c>
      <c r="E29">
        <v>206722819</v>
      </c>
      <c r="F29">
        <v>2.0732599999999999</v>
      </c>
      <c r="G29">
        <v>431771961.17721188</v>
      </c>
      <c r="H29">
        <v>-0.5270701326194368</v>
      </c>
      <c r="I29">
        <v>-3.1470069290993865</v>
      </c>
      <c r="J29" t="str">
        <f t="shared" si="0"/>
        <v>A</v>
      </c>
      <c r="K29" t="b">
        <f t="shared" si="1"/>
        <v>1</v>
      </c>
      <c r="L29" t="str">
        <f t="shared" si="2"/>
        <v>5-50</v>
      </c>
      <c r="M29">
        <f t="shared" si="3"/>
        <v>143923985.83437827</v>
      </c>
      <c r="N29" t="str">
        <f t="shared" si="4"/>
        <v>0-50</v>
      </c>
      <c r="O29" t="str">
        <f t="shared" si="7"/>
        <v>&gt;=10</v>
      </c>
      <c r="P29">
        <f t="shared" si="5"/>
        <v>9.4498071108715518</v>
      </c>
      <c r="Q29">
        <f t="shared" si="6"/>
        <v>-4.980711087155143E-2</v>
      </c>
    </row>
    <row r="30" spans="1:17" x14ac:dyDescent="0.3">
      <c r="A30" s="1" t="s">
        <v>73</v>
      </c>
      <c r="B30" t="s">
        <v>74</v>
      </c>
      <c r="C30">
        <v>8.8805999999999996E-2</v>
      </c>
      <c r="D30">
        <v>3851652825</v>
      </c>
      <c r="E30">
        <v>41683137</v>
      </c>
      <c r="F30">
        <v>-0.39122000000000001</v>
      </c>
      <c r="G30">
        <v>43373490527.101768</v>
      </c>
      <c r="H30">
        <v>-0.18592621031752665</v>
      </c>
      <c r="I30">
        <v>-4.5020050111720744</v>
      </c>
      <c r="J30" t="str">
        <f t="shared" si="0"/>
        <v>H</v>
      </c>
      <c r="K30" t="b">
        <f t="shared" si="1"/>
        <v>0</v>
      </c>
      <c r="L30" t="str">
        <f t="shared" si="2"/>
        <v>0.05-0.5</v>
      </c>
      <c r="M30">
        <f t="shared" si="3"/>
        <v>14457830174.137945</v>
      </c>
      <c r="N30" t="str">
        <f t="shared" si="4"/>
        <v>0-50</v>
      </c>
      <c r="O30" t="str">
        <f t="shared" si="7"/>
        <v>Up to 10</v>
      </c>
      <c r="P30">
        <f t="shared" si="5"/>
        <v>8.8971421191687342E-2</v>
      </c>
      <c r="Q30">
        <f t="shared" si="6"/>
        <v>-1.6542119168734548E-4</v>
      </c>
    </row>
    <row r="31" spans="1:17" x14ac:dyDescent="0.3">
      <c r="A31" s="1" t="s">
        <v>75</v>
      </c>
      <c r="B31" t="s">
        <v>76</v>
      </c>
      <c r="C31">
        <v>2.84</v>
      </c>
      <c r="D31">
        <v>3698841591</v>
      </c>
      <c r="E31">
        <v>8552103</v>
      </c>
      <c r="F31">
        <v>-15.32451</v>
      </c>
      <c r="G31">
        <v>1303766294.687613</v>
      </c>
      <c r="H31">
        <v>-0.53550966207052098</v>
      </c>
      <c r="I31">
        <v>-15.498655555094864</v>
      </c>
      <c r="J31" t="str">
        <f t="shared" si="0"/>
        <v>M</v>
      </c>
      <c r="K31" t="b">
        <f t="shared" si="1"/>
        <v>0</v>
      </c>
      <c r="L31" t="str">
        <f t="shared" si="2"/>
        <v>0.5-5</v>
      </c>
      <c r="M31">
        <f t="shared" si="3"/>
        <v>434588759.55114931</v>
      </c>
      <c r="N31" t="str">
        <f t="shared" si="4"/>
        <v>0-50</v>
      </c>
      <c r="O31" t="str">
        <f t="shared" si="7"/>
        <v>Up to 10</v>
      </c>
      <c r="P31">
        <f t="shared" si="5"/>
        <v>2.855290355735129</v>
      </c>
      <c r="Q31">
        <f t="shared" si="6"/>
        <v>-1.5290355735129157E-2</v>
      </c>
    </row>
    <row r="32" spans="1:17" x14ac:dyDescent="0.3">
      <c r="A32" s="1" t="s">
        <v>77</v>
      </c>
      <c r="B32" t="s">
        <v>78</v>
      </c>
      <c r="C32">
        <v>0.99973599999999996</v>
      </c>
      <c r="D32">
        <v>3634660082</v>
      </c>
      <c r="E32">
        <v>27817967</v>
      </c>
      <c r="F32">
        <v>-8.5400000000000007E-3</v>
      </c>
      <c r="G32">
        <v>3635773224.4037209</v>
      </c>
      <c r="H32">
        <v>-7.7113846753832978E-3</v>
      </c>
      <c r="I32">
        <v>8.6002119353038777E-3</v>
      </c>
      <c r="J32" t="str">
        <f t="shared" si="0"/>
        <v>P</v>
      </c>
      <c r="K32" t="b">
        <f t="shared" si="1"/>
        <v>0</v>
      </c>
      <c r="L32" t="str">
        <f t="shared" si="2"/>
        <v>0.5-5</v>
      </c>
      <c r="M32">
        <f t="shared" si="3"/>
        <v>1211924408.1348698</v>
      </c>
      <c r="N32" t="str">
        <f t="shared" si="4"/>
        <v>0-50</v>
      </c>
      <c r="O32" t="str">
        <f t="shared" si="7"/>
        <v>Up to 10</v>
      </c>
      <c r="P32">
        <f t="shared" si="5"/>
        <v>0.99981309943413221</v>
      </c>
      <c r="Q32">
        <f t="shared" si="6"/>
        <v>-7.7099434132255062E-5</v>
      </c>
    </row>
    <row r="33" spans="1:17" x14ac:dyDescent="0.3">
      <c r="A33" s="1" t="s">
        <v>79</v>
      </c>
      <c r="B33" t="s">
        <v>80</v>
      </c>
      <c r="C33">
        <v>7.5084499999999998E-3</v>
      </c>
      <c r="D33">
        <v>3598491793</v>
      </c>
      <c r="E33">
        <v>18635430</v>
      </c>
      <c r="F33">
        <v>7.5850000000000001E-2</v>
      </c>
      <c r="G33">
        <v>479088411035.2702</v>
      </c>
      <c r="H33">
        <v>-0.4191197650307209</v>
      </c>
      <c r="I33">
        <v>-0.15384555735126018</v>
      </c>
      <c r="J33" t="str">
        <f t="shared" si="0"/>
        <v>R</v>
      </c>
      <c r="K33" t="b">
        <f t="shared" si="1"/>
        <v>0</v>
      </c>
      <c r="L33" t="str">
        <f t="shared" si="2"/>
        <v>0-0.05</v>
      </c>
      <c r="M33">
        <f t="shared" si="3"/>
        <v>159696137011.56573</v>
      </c>
      <c r="N33" t="str">
        <f t="shared" si="4"/>
        <v>0-50</v>
      </c>
      <c r="O33" t="str">
        <f t="shared" si="7"/>
        <v>Up to 10</v>
      </c>
      <c r="P33">
        <f t="shared" si="5"/>
        <v>7.5400518475868001E-3</v>
      </c>
      <c r="Q33">
        <f t="shared" si="6"/>
        <v>-3.160184758680025E-5</v>
      </c>
    </row>
    <row r="34" spans="1:17" x14ac:dyDescent="0.3">
      <c r="A34" s="1" t="s">
        <v>81</v>
      </c>
      <c r="B34" t="s">
        <v>82</v>
      </c>
      <c r="C34">
        <v>5.8000000000000004E-6</v>
      </c>
      <c r="D34">
        <v>3416409596</v>
      </c>
      <c r="E34">
        <v>59628616</v>
      </c>
      <c r="F34">
        <v>1.0641099999999999</v>
      </c>
      <c r="G34">
        <v>589243270257029.5</v>
      </c>
      <c r="H34">
        <v>-0.35139883319247217</v>
      </c>
      <c r="I34">
        <v>-7.7832922731106606</v>
      </c>
      <c r="J34" t="str">
        <f t="shared" si="0"/>
        <v>S</v>
      </c>
      <c r="K34" t="b">
        <f t="shared" si="1"/>
        <v>0</v>
      </c>
      <c r="L34" t="str">
        <f t="shared" si="2"/>
        <v>0-0.05</v>
      </c>
      <c r="M34">
        <f t="shared" si="3"/>
        <v>196414423419007.13</v>
      </c>
      <c r="N34" t="str">
        <f t="shared" si="4"/>
        <v>0-50</v>
      </c>
      <c r="O34" t="str">
        <f t="shared" si="7"/>
        <v>Up to 10</v>
      </c>
      <c r="P34">
        <f t="shared" si="5"/>
        <v>5.8204530039423702E-6</v>
      </c>
      <c r="Q34">
        <f t="shared" si="6"/>
        <v>-2.045300394236983E-8</v>
      </c>
    </row>
    <row r="35" spans="1:17" x14ac:dyDescent="0.3">
      <c r="A35" s="1" t="s">
        <v>83</v>
      </c>
      <c r="B35" t="s">
        <v>84</v>
      </c>
      <c r="C35">
        <v>6.9209000000000007E-2</v>
      </c>
      <c r="D35">
        <v>3100530347</v>
      </c>
      <c r="E35">
        <v>9669861</v>
      </c>
      <c r="F35">
        <v>0.63295999999999997</v>
      </c>
      <c r="G35">
        <v>44782685266.139702</v>
      </c>
      <c r="H35">
        <v>-0.44028155194728957</v>
      </c>
      <c r="I35">
        <v>-6.6222142406727675</v>
      </c>
      <c r="J35" t="str">
        <f t="shared" si="0"/>
        <v>C</v>
      </c>
      <c r="K35" t="b">
        <f t="shared" si="1"/>
        <v>1</v>
      </c>
      <c r="L35" t="str">
        <f t="shared" si="2"/>
        <v>0.05-0.5</v>
      </c>
      <c r="M35">
        <f t="shared" si="3"/>
        <v>14927561753.025734</v>
      </c>
      <c r="N35" t="str">
        <f t="shared" si="4"/>
        <v>0-50</v>
      </c>
      <c r="O35" t="str">
        <f t="shared" si="7"/>
        <v>Up to 10</v>
      </c>
      <c r="P35">
        <f t="shared" si="5"/>
        <v>6.951506199378335E-2</v>
      </c>
      <c r="Q35">
        <f t="shared" si="6"/>
        <v>-3.0606199378334364E-4</v>
      </c>
    </row>
    <row r="36" spans="1:17" x14ac:dyDescent="0.3">
      <c r="A36" s="1" t="s">
        <v>85</v>
      </c>
      <c r="B36" t="s">
        <v>86</v>
      </c>
      <c r="C36">
        <v>1.1200000000000001</v>
      </c>
      <c r="D36">
        <v>2985300571</v>
      </c>
      <c r="E36">
        <v>224834</v>
      </c>
      <c r="G36">
        <v>2655561662.5436029</v>
      </c>
      <c r="I36">
        <v>0.13357663397083344</v>
      </c>
      <c r="J36" t="str">
        <f t="shared" si="0"/>
        <v>C</v>
      </c>
      <c r="K36" t="b">
        <f t="shared" si="1"/>
        <v>1</v>
      </c>
      <c r="L36" t="str">
        <f t="shared" si="2"/>
        <v>0.5-5</v>
      </c>
      <c r="M36">
        <f t="shared" si="3"/>
        <v>1327780831.3385899</v>
      </c>
      <c r="N36" t="str">
        <f t="shared" si="4"/>
        <v>0-50</v>
      </c>
      <c r="O36" t="str">
        <f t="shared" si="7"/>
        <v>Up to 10</v>
      </c>
      <c r="P36">
        <f t="shared" si="5"/>
        <v>1.1200000000000001</v>
      </c>
      <c r="Q36">
        <f t="shared" si="6"/>
        <v>0</v>
      </c>
    </row>
    <row r="37" spans="1:17" x14ac:dyDescent="0.3">
      <c r="A37" s="1" t="s">
        <v>87</v>
      </c>
      <c r="B37" t="s">
        <v>88</v>
      </c>
      <c r="C37">
        <v>283.02</v>
      </c>
      <c r="D37">
        <v>2712542501</v>
      </c>
      <c r="E37">
        <v>224803029</v>
      </c>
      <c r="F37">
        <v>7.9411100000000001</v>
      </c>
      <c r="G37">
        <v>9597491</v>
      </c>
      <c r="H37">
        <v>-1.781568348964804</v>
      </c>
      <c r="I37">
        <v>-4.4596294501491007</v>
      </c>
      <c r="J37" t="str">
        <f t="shared" si="0"/>
        <v>B</v>
      </c>
      <c r="K37" t="b">
        <f t="shared" si="1"/>
        <v>1</v>
      </c>
      <c r="L37" t="str">
        <f t="shared" si="2"/>
        <v>&gt;50</v>
      </c>
      <c r="M37">
        <f t="shared" si="3"/>
        <v>3199161.5862674005</v>
      </c>
      <c r="N37" t="str">
        <f t="shared" si="4"/>
        <v>&gt;50</v>
      </c>
      <c r="O37" t="str">
        <f t="shared" si="7"/>
        <v>Up to 10</v>
      </c>
      <c r="P37">
        <f t="shared" si="5"/>
        <v>288.15365430141952</v>
      </c>
      <c r="Q37">
        <f t="shared" si="6"/>
        <v>-5.1336543014195399</v>
      </c>
    </row>
    <row r="38" spans="1:17" x14ac:dyDescent="0.3">
      <c r="A38" s="1" t="s">
        <v>89</v>
      </c>
      <c r="B38" t="s">
        <v>90</v>
      </c>
      <c r="C38">
        <v>4522.5200000000004</v>
      </c>
      <c r="D38">
        <v>2682242903</v>
      </c>
      <c r="E38">
        <v>214678761</v>
      </c>
      <c r="F38">
        <v>0.92886000000000002</v>
      </c>
      <c r="G38">
        <v>592823.65953199996</v>
      </c>
      <c r="H38">
        <v>1.202015389017762E-2</v>
      </c>
      <c r="I38">
        <v>-3.4818058999431787</v>
      </c>
      <c r="J38" t="str">
        <f t="shared" si="0"/>
        <v>T</v>
      </c>
      <c r="K38" t="b">
        <f t="shared" si="1"/>
        <v>0</v>
      </c>
      <c r="L38" t="str">
        <f t="shared" si="2"/>
        <v>&gt;50</v>
      </c>
      <c r="M38">
        <f t="shared" si="3"/>
        <v>197606.72991541796</v>
      </c>
      <c r="N38" t="str">
        <f t="shared" si="4"/>
        <v>&gt;50</v>
      </c>
      <c r="O38" t="str">
        <f t="shared" si="7"/>
        <v>&gt;=10</v>
      </c>
      <c r="P38">
        <f t="shared" si="5"/>
        <v>4521.9764514716562</v>
      </c>
      <c r="Q38">
        <f t="shared" si="6"/>
        <v>0.54354852834421763</v>
      </c>
    </row>
    <row r="39" spans="1:17" x14ac:dyDescent="0.3">
      <c r="A39" s="1" t="s">
        <v>91</v>
      </c>
      <c r="B39" t="s">
        <v>92</v>
      </c>
      <c r="C39">
        <v>0.99975899999999995</v>
      </c>
      <c r="D39">
        <v>2678380191</v>
      </c>
      <c r="E39">
        <v>58566228</v>
      </c>
      <c r="F39">
        <v>3.0599999999999998E-3</v>
      </c>
      <c r="G39">
        <v>2679022219.0437779</v>
      </c>
      <c r="H39">
        <v>4.8599483188784334E-4</v>
      </c>
      <c r="I39">
        <v>1.8589930632178946E-2</v>
      </c>
      <c r="J39" t="str">
        <f t="shared" si="0"/>
        <v>G</v>
      </c>
      <c r="K39" t="b">
        <f t="shared" si="1"/>
        <v>0</v>
      </c>
      <c r="L39" t="str">
        <f t="shared" si="2"/>
        <v>0.5-5</v>
      </c>
      <c r="M39">
        <f t="shared" si="3"/>
        <v>893007406.35428464</v>
      </c>
      <c r="N39" t="str">
        <f t="shared" si="4"/>
        <v>0-50</v>
      </c>
      <c r="O39" t="str">
        <f t="shared" si="7"/>
        <v>&gt;=10</v>
      </c>
      <c r="P39">
        <f t="shared" si="5"/>
        <v>0.99975414124654194</v>
      </c>
      <c r="Q39">
        <f t="shared" si="6"/>
        <v>4.8587534580146752E-6</v>
      </c>
    </row>
    <row r="40" spans="1:17" x14ac:dyDescent="0.3">
      <c r="A40" s="1" t="s">
        <v>93</v>
      </c>
      <c r="B40" t="s">
        <v>94</v>
      </c>
      <c r="C40">
        <v>1</v>
      </c>
      <c r="D40">
        <v>2537560312</v>
      </c>
      <c r="E40">
        <v>0</v>
      </c>
      <c r="F40">
        <v>0</v>
      </c>
      <c r="G40">
        <v>2537560311.6504488</v>
      </c>
      <c r="H40">
        <v>0</v>
      </c>
      <c r="I40">
        <v>0</v>
      </c>
      <c r="J40" t="str">
        <f t="shared" si="0"/>
        <v>B</v>
      </c>
      <c r="K40" t="b">
        <f t="shared" si="1"/>
        <v>1</v>
      </c>
      <c r="L40" t="str">
        <f t="shared" si="2"/>
        <v>0.5-5</v>
      </c>
      <c r="M40">
        <f t="shared" si="3"/>
        <v>845853437.21681631</v>
      </c>
      <c r="N40" t="str">
        <f t="shared" si="4"/>
        <v>0-50</v>
      </c>
      <c r="O40" t="str">
        <f t="shared" si="7"/>
        <v>Up to 10</v>
      </c>
      <c r="P40">
        <f t="shared" si="5"/>
        <v>1</v>
      </c>
      <c r="Q40">
        <f t="shared" si="6"/>
        <v>0</v>
      </c>
    </row>
    <row r="41" spans="1:17" x14ac:dyDescent="0.3">
      <c r="A41" s="1" t="s">
        <v>95</v>
      </c>
      <c r="B41" t="s">
        <v>96</v>
      </c>
      <c r="C41">
        <v>3.62</v>
      </c>
      <c r="D41">
        <v>2304070208</v>
      </c>
      <c r="E41">
        <v>171724427</v>
      </c>
      <c r="F41">
        <v>-0.41322999999999999</v>
      </c>
      <c r="G41">
        <v>635813562.74284792</v>
      </c>
      <c r="H41">
        <v>-0.99050516050255055</v>
      </c>
      <c r="I41">
        <v>0.58632792341699735</v>
      </c>
      <c r="J41" t="str">
        <f t="shared" si="0"/>
        <v>U</v>
      </c>
      <c r="K41" t="b">
        <f t="shared" si="1"/>
        <v>1</v>
      </c>
      <c r="L41" t="str">
        <f t="shared" si="2"/>
        <v>0.5-5</v>
      </c>
      <c r="M41">
        <f t="shared" si="3"/>
        <v>211937854.11289021</v>
      </c>
      <c r="N41" t="str">
        <f t="shared" si="4"/>
        <v>0-50</v>
      </c>
      <c r="O41" t="str">
        <f t="shared" si="7"/>
        <v>Up to 10</v>
      </c>
      <c r="P41">
        <f t="shared" si="5"/>
        <v>3.6562149982366021</v>
      </c>
      <c r="Q41">
        <f t="shared" si="6"/>
        <v>-3.6214998236602014E-2</v>
      </c>
    </row>
    <row r="42" spans="1:17" x14ac:dyDescent="0.3">
      <c r="A42" s="1" t="s">
        <v>97</v>
      </c>
      <c r="B42" t="s">
        <v>98</v>
      </c>
      <c r="C42">
        <v>1.75</v>
      </c>
      <c r="D42">
        <v>2266659357</v>
      </c>
      <c r="E42">
        <v>379043172</v>
      </c>
      <c r="F42">
        <v>6.3548799999999996</v>
      </c>
      <c r="G42">
        <v>1296058293</v>
      </c>
      <c r="H42">
        <v>-0.11812262464886564</v>
      </c>
      <c r="I42">
        <v>10.639836616397185</v>
      </c>
      <c r="J42" t="str">
        <f t="shared" si="0"/>
        <v>N</v>
      </c>
      <c r="K42" t="b">
        <f t="shared" si="1"/>
        <v>0</v>
      </c>
      <c r="L42" t="str">
        <f t="shared" si="2"/>
        <v>0.5-5</v>
      </c>
      <c r="M42">
        <f t="shared" si="3"/>
        <v>432019434.50723797</v>
      </c>
      <c r="N42" t="str">
        <f t="shared" si="4"/>
        <v>0-50</v>
      </c>
      <c r="O42" t="str">
        <f t="shared" si="7"/>
        <v>Up to 10</v>
      </c>
      <c r="P42">
        <f t="shared" si="5"/>
        <v>1.7520695905860748</v>
      </c>
      <c r="Q42">
        <f t="shared" si="6"/>
        <v>-2.0695905860748098E-3</v>
      </c>
    </row>
    <row r="43" spans="1:17" x14ac:dyDescent="0.3">
      <c r="A43" s="1" t="s">
        <v>99</v>
      </c>
      <c r="B43" t="s">
        <v>100</v>
      </c>
      <c r="C43">
        <v>0.68358699999999994</v>
      </c>
      <c r="D43">
        <v>2257879959</v>
      </c>
      <c r="E43">
        <v>38560593</v>
      </c>
      <c r="F43">
        <v>9.2082300000000004</v>
      </c>
      <c r="G43">
        <v>3302294382.53684</v>
      </c>
      <c r="H43">
        <v>-0.34267195050204619</v>
      </c>
      <c r="I43">
        <v>1.0438859455008442</v>
      </c>
      <c r="J43" t="str">
        <f t="shared" si="0"/>
        <v>M</v>
      </c>
      <c r="K43" t="b">
        <f t="shared" si="1"/>
        <v>0</v>
      </c>
      <c r="L43" t="str">
        <f t="shared" si="2"/>
        <v>0.5-5</v>
      </c>
      <c r="M43">
        <f t="shared" si="3"/>
        <v>1100764794.4126847</v>
      </c>
      <c r="N43" t="str">
        <f t="shared" si="4"/>
        <v>0-50</v>
      </c>
      <c r="O43" t="str">
        <f t="shared" si="7"/>
        <v>Up to 10</v>
      </c>
      <c r="P43">
        <f t="shared" si="5"/>
        <v>0.68593751546346393</v>
      </c>
      <c r="Q43">
        <f t="shared" si="6"/>
        <v>-2.3505154634639869E-3</v>
      </c>
    </row>
    <row r="44" spans="1:17" x14ac:dyDescent="0.3">
      <c r="A44" s="1" t="s">
        <v>101</v>
      </c>
      <c r="B44" t="s">
        <v>102</v>
      </c>
      <c r="C44">
        <v>1.1299999999999999</v>
      </c>
      <c r="D44">
        <v>2140904879</v>
      </c>
      <c r="E44">
        <v>1108857</v>
      </c>
      <c r="F44">
        <v>-0.23561000000000001</v>
      </c>
      <c r="G44">
        <v>1889716549.0305359</v>
      </c>
      <c r="H44">
        <v>0.42795131373949907</v>
      </c>
      <c r="I44">
        <v>2.8911816051841989E-2</v>
      </c>
      <c r="J44" t="str">
        <f t="shared" si="0"/>
        <v>O</v>
      </c>
      <c r="K44" t="b">
        <f t="shared" si="1"/>
        <v>1</v>
      </c>
      <c r="L44" t="str">
        <f t="shared" si="2"/>
        <v>0.5-5</v>
      </c>
      <c r="M44">
        <f t="shared" si="3"/>
        <v>629905516.49579966</v>
      </c>
      <c r="N44" t="str">
        <f t="shared" si="4"/>
        <v>0-50</v>
      </c>
      <c r="O44" t="str">
        <f t="shared" si="7"/>
        <v>Up to 10</v>
      </c>
      <c r="P44">
        <f t="shared" si="5"/>
        <v>1.1251847570502069</v>
      </c>
      <c r="Q44">
        <f t="shared" si="6"/>
        <v>4.8152429497929639E-3</v>
      </c>
    </row>
    <row r="45" spans="1:17" x14ac:dyDescent="0.3">
      <c r="A45" s="1" t="s">
        <v>103</v>
      </c>
      <c r="B45" t="s">
        <v>104</v>
      </c>
      <c r="C45">
        <v>1.27</v>
      </c>
      <c r="D45">
        <v>2135906168</v>
      </c>
      <c r="E45">
        <v>108467907</v>
      </c>
      <c r="F45">
        <v>2.3259799999999999</v>
      </c>
      <c r="G45">
        <v>1684814367.2796321</v>
      </c>
      <c r="H45">
        <v>-0.54818035898782391</v>
      </c>
      <c r="I45">
        <v>-4.5023257036709508</v>
      </c>
      <c r="J45" t="str">
        <f t="shared" si="0"/>
        <v>P</v>
      </c>
      <c r="K45" t="b">
        <f t="shared" si="1"/>
        <v>0</v>
      </c>
      <c r="L45" t="str">
        <f t="shared" si="2"/>
        <v>0.5-5</v>
      </c>
      <c r="M45">
        <f t="shared" si="3"/>
        <v>561604787.40970862</v>
      </c>
      <c r="N45" t="str">
        <f t="shared" si="4"/>
        <v>0-50</v>
      </c>
      <c r="O45" t="str">
        <f t="shared" si="7"/>
        <v>Up to 10</v>
      </c>
      <c r="P45">
        <f t="shared" si="5"/>
        <v>1.2770002646349514</v>
      </c>
      <c r="Q45">
        <f t="shared" si="6"/>
        <v>-7.0002646349514031E-3</v>
      </c>
    </row>
    <row r="46" spans="1:17" x14ac:dyDescent="0.3">
      <c r="A46" s="1" t="s">
        <v>105</v>
      </c>
      <c r="B46" t="s">
        <v>106</v>
      </c>
      <c r="C46">
        <v>4524.24</v>
      </c>
      <c r="D46">
        <v>2128577072</v>
      </c>
      <c r="E46">
        <v>127740373</v>
      </c>
      <c r="F46">
        <v>0.93718000000000001</v>
      </c>
      <c r="G46">
        <v>470301.37</v>
      </c>
      <c r="H46">
        <v>3.1792901976748576E-2</v>
      </c>
      <c r="I46">
        <v>-3.4895275090278206</v>
      </c>
      <c r="J46" t="str">
        <f t="shared" si="0"/>
        <v>P</v>
      </c>
      <c r="K46" t="b">
        <f t="shared" si="1"/>
        <v>0</v>
      </c>
      <c r="L46" t="str">
        <f t="shared" si="2"/>
        <v>&gt;50</v>
      </c>
      <c r="M46">
        <f t="shared" si="3"/>
        <v>156765.97075513098</v>
      </c>
      <c r="N46" t="str">
        <f t="shared" si="4"/>
        <v>&gt;50</v>
      </c>
      <c r="O46" t="str">
        <f t="shared" si="7"/>
        <v>Up to 10</v>
      </c>
      <c r="P46">
        <f t="shared" si="5"/>
        <v>4522.8020699712915</v>
      </c>
      <c r="Q46">
        <f t="shared" si="6"/>
        <v>1.4379300287082515</v>
      </c>
    </row>
    <row r="47" spans="1:17" x14ac:dyDescent="0.3">
      <c r="A47" s="1" t="s">
        <v>107</v>
      </c>
      <c r="B47" t="s">
        <v>108</v>
      </c>
      <c r="C47">
        <v>0.40456700000000001</v>
      </c>
      <c r="D47">
        <v>1967585323</v>
      </c>
      <c r="E47">
        <v>257627665</v>
      </c>
      <c r="F47">
        <v>7.5934699999999999</v>
      </c>
      <c r="G47">
        <v>4869330647</v>
      </c>
      <c r="H47">
        <v>-0.85457540649667207</v>
      </c>
      <c r="I47">
        <v>5.4569317177622905</v>
      </c>
      <c r="J47" t="str">
        <f t="shared" si="0"/>
        <v>O</v>
      </c>
      <c r="K47" t="b">
        <f t="shared" si="1"/>
        <v>1</v>
      </c>
      <c r="L47" t="str">
        <f t="shared" si="2"/>
        <v>0.05-0.5</v>
      </c>
      <c r="M47">
        <f t="shared" si="3"/>
        <v>1623110217.2007856</v>
      </c>
      <c r="N47" t="str">
        <f t="shared" si="4"/>
        <v>0-50</v>
      </c>
      <c r="O47" t="str">
        <f t="shared" si="7"/>
        <v>&gt;=10</v>
      </c>
      <c r="P47">
        <f t="shared" si="5"/>
        <v>0.40805413024224413</v>
      </c>
      <c r="Q47">
        <f t="shared" si="6"/>
        <v>-3.4871302422441186E-3</v>
      </c>
    </row>
    <row r="48" spans="1:17" x14ac:dyDescent="0.3">
      <c r="A48" s="1" t="s">
        <v>109</v>
      </c>
      <c r="B48" t="s">
        <v>110</v>
      </c>
      <c r="C48">
        <v>6.1742999999999999E-2</v>
      </c>
      <c r="D48">
        <v>1960851840</v>
      </c>
      <c r="E48">
        <v>32416007</v>
      </c>
      <c r="F48">
        <v>0.26554</v>
      </c>
      <c r="G48">
        <v>31773075199</v>
      </c>
      <c r="H48">
        <v>8.5060875340040809E-2</v>
      </c>
      <c r="I48">
        <v>-9.2719290133201966</v>
      </c>
      <c r="J48" t="str">
        <f t="shared" si="0"/>
        <v>W</v>
      </c>
      <c r="K48" t="b">
        <f t="shared" si="1"/>
        <v>0</v>
      </c>
      <c r="L48" t="str">
        <f t="shared" si="2"/>
        <v>0.05-0.5</v>
      </c>
      <c r="M48">
        <f t="shared" si="3"/>
        <v>10591025063.271044</v>
      </c>
      <c r="N48" t="str">
        <f t="shared" si="4"/>
        <v>0-50</v>
      </c>
      <c r="O48" t="str">
        <f t="shared" si="7"/>
        <v>Up to 10</v>
      </c>
      <c r="P48">
        <f t="shared" si="5"/>
        <v>6.1690525499008671E-2</v>
      </c>
      <c r="Q48">
        <f t="shared" si="6"/>
        <v>5.2474500991328554E-5</v>
      </c>
    </row>
    <row r="49" spans="1:17" x14ac:dyDescent="0.3">
      <c r="A49" s="1" t="s">
        <v>111</v>
      </c>
      <c r="B49" t="s">
        <v>112</v>
      </c>
      <c r="C49">
        <v>0.71816000000000002</v>
      </c>
      <c r="D49">
        <v>1850059896</v>
      </c>
      <c r="E49">
        <v>175590155</v>
      </c>
      <c r="F49">
        <v>8.3919800000000002</v>
      </c>
      <c r="G49">
        <v>2579922243.4698935</v>
      </c>
      <c r="H49">
        <v>4.2732958440488078</v>
      </c>
      <c r="I49">
        <v>6.301876591393631</v>
      </c>
      <c r="J49" t="str">
        <f t="shared" si="0"/>
        <v>A</v>
      </c>
      <c r="K49" t="b">
        <f t="shared" si="1"/>
        <v>1</v>
      </c>
      <c r="L49" t="str">
        <f t="shared" si="2"/>
        <v>0.5-5</v>
      </c>
      <c r="M49">
        <f t="shared" si="3"/>
        <v>859974084.68168867</v>
      </c>
      <c r="N49" t="str">
        <f t="shared" si="4"/>
        <v>0-50</v>
      </c>
      <c r="O49" t="str">
        <f t="shared" si="7"/>
        <v>Up to 10</v>
      </c>
      <c r="P49">
        <f t="shared" si="5"/>
        <v>0.68872858979549323</v>
      </c>
      <c r="Q49">
        <f t="shared" si="6"/>
        <v>2.9431410204506792E-2</v>
      </c>
    </row>
    <row r="50" spans="1:17" x14ac:dyDescent="0.3">
      <c r="A50" s="1" t="s">
        <v>113</v>
      </c>
      <c r="B50" t="s">
        <v>114</v>
      </c>
      <c r="C50">
        <v>2.0099999999999998E-6</v>
      </c>
      <c r="D50">
        <v>1829904742</v>
      </c>
      <c r="E50">
        <v>88949506</v>
      </c>
      <c r="F50">
        <v>2.0961599999999998</v>
      </c>
      <c r="G50">
        <v>905707664073577.75</v>
      </c>
      <c r="H50">
        <v>7.4229103767335616E-2</v>
      </c>
      <c r="I50">
        <v>2.7640844695456144</v>
      </c>
      <c r="J50" t="str">
        <f t="shared" si="0"/>
        <v>H</v>
      </c>
      <c r="K50" t="b">
        <f t="shared" si="1"/>
        <v>0</v>
      </c>
      <c r="L50" t="str">
        <f t="shared" si="2"/>
        <v>0-0.05</v>
      </c>
      <c r="M50">
        <f t="shared" si="3"/>
        <v>301902554691193.56</v>
      </c>
      <c r="N50" t="str">
        <f t="shared" si="4"/>
        <v>0-50</v>
      </c>
      <c r="O50" t="str">
        <f t="shared" si="7"/>
        <v>Up to 10</v>
      </c>
      <c r="P50">
        <f t="shared" si="5"/>
        <v>2.0085091016947265E-6</v>
      </c>
      <c r="Q50">
        <f t="shared" si="6"/>
        <v>1.4908983052733448E-9</v>
      </c>
    </row>
    <row r="51" spans="1:17" x14ac:dyDescent="0.3">
      <c r="A51" s="1" t="s">
        <v>115</v>
      </c>
      <c r="B51" t="s">
        <v>116</v>
      </c>
      <c r="C51">
        <v>0.99793699999999996</v>
      </c>
      <c r="D51">
        <v>1780780937</v>
      </c>
      <c r="E51">
        <v>245302</v>
      </c>
      <c r="F51">
        <v>2.0209999999999999E-2</v>
      </c>
      <c r="G51">
        <v>1784462229.1240611</v>
      </c>
      <c r="H51">
        <v>5.862603634798183E-2</v>
      </c>
      <c r="I51">
        <v>2.060919059783636E-2</v>
      </c>
      <c r="J51" t="str">
        <f t="shared" si="0"/>
        <v>F</v>
      </c>
      <c r="K51" t="b">
        <f t="shared" si="1"/>
        <v>0</v>
      </c>
      <c r="L51" t="str">
        <f t="shared" si="2"/>
        <v>0.5-5</v>
      </c>
      <c r="M51">
        <f t="shared" si="3"/>
        <v>594820743.06776536</v>
      </c>
      <c r="N51" t="str">
        <f t="shared" si="4"/>
        <v>0-50</v>
      </c>
      <c r="O51" t="str">
        <f t="shared" si="7"/>
        <v>Up to 10</v>
      </c>
      <c r="P51">
        <f t="shared" si="5"/>
        <v>0.99735229188284324</v>
      </c>
      <c r="Q51">
        <f t="shared" si="6"/>
        <v>5.8470811715671811E-4</v>
      </c>
    </row>
    <row r="52" spans="1:17" x14ac:dyDescent="0.3">
      <c r="A52" s="1" t="s">
        <v>117</v>
      </c>
      <c r="B52" t="s">
        <v>118</v>
      </c>
      <c r="C52">
        <v>0.99985500000000005</v>
      </c>
      <c r="D52">
        <v>1738007044</v>
      </c>
      <c r="E52">
        <v>126330738</v>
      </c>
      <c r="F52">
        <v>-7.5199999999999998E-3</v>
      </c>
      <c r="G52">
        <v>1738254025.031991</v>
      </c>
      <c r="H52">
        <v>-5.4478521218610477E-3</v>
      </c>
      <c r="I52">
        <v>4.5662620184120875E-4</v>
      </c>
      <c r="J52" t="str">
        <f t="shared" si="0"/>
        <v>R</v>
      </c>
      <c r="K52" t="b">
        <f t="shared" si="1"/>
        <v>0</v>
      </c>
      <c r="L52" t="str">
        <f t="shared" si="2"/>
        <v>0.5-5</v>
      </c>
      <c r="M52">
        <f t="shared" si="3"/>
        <v>579418008.3423332</v>
      </c>
      <c r="N52" t="str">
        <f t="shared" si="4"/>
        <v>0-50</v>
      </c>
      <c r="O52" t="str">
        <f t="shared" si="7"/>
        <v>Up to 10</v>
      </c>
      <c r="P52">
        <f t="shared" si="5"/>
        <v>0.99990947358947369</v>
      </c>
      <c r="Q52">
        <f t="shared" si="6"/>
        <v>-5.4473589473635897E-5</v>
      </c>
    </row>
    <row r="53" spans="1:17" x14ac:dyDescent="0.3">
      <c r="A53" s="1" t="s">
        <v>119</v>
      </c>
      <c r="B53" t="s">
        <v>120</v>
      </c>
      <c r="C53">
        <v>80.91</v>
      </c>
      <c r="D53">
        <v>1699352895</v>
      </c>
      <c r="E53">
        <v>9599728</v>
      </c>
      <c r="F53">
        <v>0.38945999999999997</v>
      </c>
      <c r="G53">
        <v>21000000</v>
      </c>
      <c r="H53">
        <v>-0.23627204871313084</v>
      </c>
      <c r="I53">
        <v>-4.35506655847899</v>
      </c>
      <c r="J53" t="str">
        <f t="shared" si="0"/>
        <v>O</v>
      </c>
      <c r="K53" t="b">
        <f t="shared" si="1"/>
        <v>1</v>
      </c>
      <c r="L53" t="str">
        <f t="shared" si="2"/>
        <v>&gt;50</v>
      </c>
      <c r="M53">
        <f t="shared" si="3"/>
        <v>6999998.4695537975</v>
      </c>
      <c r="N53" t="str">
        <f t="shared" si="4"/>
        <v>&gt;50</v>
      </c>
      <c r="O53" t="str">
        <f t="shared" si="7"/>
        <v>Up to 10</v>
      </c>
      <c r="P53">
        <f t="shared" si="5"/>
        <v>81.101620460200863</v>
      </c>
      <c r="Q53">
        <f t="shared" si="6"/>
        <v>-0.19162046020086621</v>
      </c>
    </row>
    <row r="54" spans="1:17" x14ac:dyDescent="0.3">
      <c r="A54" s="1" t="s">
        <v>121</v>
      </c>
      <c r="B54" t="s">
        <v>122</v>
      </c>
      <c r="C54">
        <v>7.0705000000000004E-2</v>
      </c>
      <c r="D54">
        <v>1642643254</v>
      </c>
      <c r="E54">
        <v>11226665</v>
      </c>
      <c r="F54">
        <v>2.4282400000000002</v>
      </c>
      <c r="G54">
        <v>23228890832.874542</v>
      </c>
      <c r="H54">
        <v>1.142832523301753E-2</v>
      </c>
      <c r="I54">
        <v>-2.7877835679384351</v>
      </c>
      <c r="J54" t="str">
        <f t="shared" si="0"/>
        <v>S</v>
      </c>
      <c r="K54" t="b">
        <f t="shared" si="1"/>
        <v>0</v>
      </c>
      <c r="L54" t="str">
        <f t="shared" si="2"/>
        <v>0.05-0.5</v>
      </c>
      <c r="M54">
        <f t="shared" si="3"/>
        <v>7742963610.0327291</v>
      </c>
      <c r="N54" t="str">
        <f t="shared" si="4"/>
        <v>0-50</v>
      </c>
      <c r="O54" t="str">
        <f t="shared" si="7"/>
        <v>&gt;=10</v>
      </c>
      <c r="P54">
        <f t="shared" si="5"/>
        <v>7.0696920525992565E-2</v>
      </c>
      <c r="Q54">
        <f t="shared" si="6"/>
        <v>8.0794740074385807E-6</v>
      </c>
    </row>
    <row r="55" spans="1:17" x14ac:dyDescent="0.3">
      <c r="A55" s="1" t="s">
        <v>123</v>
      </c>
      <c r="B55" t="s">
        <v>124</v>
      </c>
      <c r="C55">
        <v>0.152616</v>
      </c>
      <c r="D55">
        <v>1616509074</v>
      </c>
      <c r="E55">
        <v>13530641</v>
      </c>
      <c r="F55">
        <v>1.3580399999999999</v>
      </c>
      <c r="G55">
        <v>10592014967.80899</v>
      </c>
      <c r="H55">
        <v>-0.3945121998644997</v>
      </c>
      <c r="I55">
        <v>-10.239751688685232</v>
      </c>
      <c r="J55" t="str">
        <f t="shared" si="0"/>
        <v>P</v>
      </c>
      <c r="K55" t="b">
        <f t="shared" si="1"/>
        <v>0</v>
      </c>
      <c r="L55" t="str">
        <f t="shared" si="2"/>
        <v>0.05-0.5</v>
      </c>
      <c r="M55">
        <f t="shared" si="3"/>
        <v>3530671652.3915753</v>
      </c>
      <c r="N55" t="str">
        <f t="shared" si="4"/>
        <v>0-50</v>
      </c>
      <c r="O55" t="str">
        <f t="shared" si="7"/>
        <v>Up to 10</v>
      </c>
      <c r="P55">
        <f t="shared" si="5"/>
        <v>0.15322047346049181</v>
      </c>
      <c r="Q55">
        <f t="shared" si="6"/>
        <v>-6.0447346049180561E-4</v>
      </c>
    </row>
    <row r="56" spans="1:17" x14ac:dyDescent="0.3">
      <c r="A56" s="1" t="s">
        <v>125</v>
      </c>
      <c r="B56" t="s">
        <v>126</v>
      </c>
      <c r="C56">
        <v>3.7500000000000001E-6</v>
      </c>
      <c r="D56">
        <v>1577879365</v>
      </c>
      <c r="E56">
        <v>144544184</v>
      </c>
      <c r="F56">
        <v>1.82717</v>
      </c>
      <c r="G56">
        <v>420690000000000</v>
      </c>
      <c r="H56">
        <v>-0.64820364747108716</v>
      </c>
      <c r="I56">
        <v>-7.1632180720147183</v>
      </c>
      <c r="J56" t="str">
        <f t="shared" si="0"/>
        <v>P</v>
      </c>
      <c r="K56" t="b">
        <f t="shared" si="1"/>
        <v>0</v>
      </c>
      <c r="L56" t="str">
        <f t="shared" si="2"/>
        <v>0-0.05</v>
      </c>
      <c r="M56">
        <f t="shared" si="3"/>
        <v>140229999999997.39</v>
      </c>
      <c r="N56" t="str">
        <f t="shared" si="4"/>
        <v>0-50</v>
      </c>
      <c r="O56" t="str">
        <f t="shared" si="7"/>
        <v>Up to 10</v>
      </c>
      <c r="P56">
        <f t="shared" si="5"/>
        <v>3.7744662277609109E-6</v>
      </c>
      <c r="Q56">
        <f t="shared" si="6"/>
        <v>-2.4466227760910798E-8</v>
      </c>
    </row>
    <row r="57" spans="1:17" x14ac:dyDescent="0.3">
      <c r="A57" s="1" t="s">
        <v>127</v>
      </c>
      <c r="B57" t="s">
        <v>128</v>
      </c>
      <c r="C57">
        <v>0.99919599999999997</v>
      </c>
      <c r="D57">
        <v>1519516944</v>
      </c>
      <c r="E57">
        <v>2238315</v>
      </c>
      <c r="F57">
        <v>-6.7400000000000003E-3</v>
      </c>
      <c r="G57">
        <v>1520799941</v>
      </c>
      <c r="H57">
        <v>-2.0785640772402279E-2</v>
      </c>
      <c r="I57">
        <v>-3.5988291909135536E-2</v>
      </c>
      <c r="J57" t="str">
        <f t="shared" si="0"/>
        <v>U</v>
      </c>
      <c r="K57" t="b">
        <f t="shared" si="1"/>
        <v>1</v>
      </c>
      <c r="L57" t="str">
        <f t="shared" si="2"/>
        <v>0.5-5</v>
      </c>
      <c r="M57">
        <f t="shared" si="3"/>
        <v>506933313.64774203</v>
      </c>
      <c r="N57" t="str">
        <f t="shared" si="4"/>
        <v>0-50</v>
      </c>
      <c r="O57" t="str">
        <f t="shared" si="7"/>
        <v>Up to 10</v>
      </c>
      <c r="P57">
        <f t="shared" si="5"/>
        <v>0.99940373246969716</v>
      </c>
      <c r="Q57">
        <f t="shared" si="6"/>
        <v>-2.0773246969718606E-4</v>
      </c>
    </row>
    <row r="58" spans="1:17" x14ac:dyDescent="0.3">
      <c r="A58" s="1" t="s">
        <v>129</v>
      </c>
      <c r="B58" t="s">
        <v>130</v>
      </c>
      <c r="C58">
        <v>2.5499999999999998</v>
      </c>
      <c r="D58">
        <v>1410852460</v>
      </c>
      <c r="E58">
        <v>44915635</v>
      </c>
      <c r="F58">
        <v>1.3657600000000001</v>
      </c>
      <c r="G58">
        <v>552972257.56583953</v>
      </c>
      <c r="H58">
        <v>-0.67768520265549548</v>
      </c>
      <c r="I58">
        <v>-14.346871097471393</v>
      </c>
      <c r="J58" t="str">
        <f t="shared" si="0"/>
        <v>I</v>
      </c>
      <c r="K58" t="b">
        <f t="shared" si="1"/>
        <v>1</v>
      </c>
      <c r="L58" t="str">
        <f t="shared" si="2"/>
        <v>0.5-5</v>
      </c>
      <c r="M58">
        <f t="shared" si="3"/>
        <v>184324080.84709439</v>
      </c>
      <c r="N58" t="str">
        <f t="shared" si="4"/>
        <v>0-50</v>
      </c>
      <c r="O58" t="str">
        <f t="shared" si="7"/>
        <v>Up to 10</v>
      </c>
      <c r="P58">
        <f t="shared" si="5"/>
        <v>2.5673988823186158</v>
      </c>
      <c r="Q58">
        <f t="shared" si="6"/>
        <v>-1.7398882318615971E-2</v>
      </c>
    </row>
    <row r="59" spans="1:17" x14ac:dyDescent="0.3">
      <c r="A59" s="1" t="s">
        <v>131</v>
      </c>
      <c r="B59" t="s">
        <v>132</v>
      </c>
      <c r="C59">
        <v>2.0099999999999998</v>
      </c>
      <c r="D59">
        <v>1407164262</v>
      </c>
      <c r="E59">
        <v>13719093</v>
      </c>
      <c r="F59">
        <v>0.28819</v>
      </c>
      <c r="G59">
        <v>699992035.97879064</v>
      </c>
      <c r="H59">
        <v>-0.15940971873374071</v>
      </c>
      <c r="I59">
        <v>-3.8710864471212432</v>
      </c>
      <c r="J59" t="str">
        <f t="shared" si="0"/>
        <v>B</v>
      </c>
      <c r="K59" t="b">
        <f t="shared" si="1"/>
        <v>1</v>
      </c>
      <c r="L59" t="str">
        <f t="shared" si="2"/>
        <v>0.5-5</v>
      </c>
      <c r="M59">
        <f t="shared" si="3"/>
        <v>233330677.31609812</v>
      </c>
      <c r="N59" t="str">
        <f t="shared" si="4"/>
        <v>0-50</v>
      </c>
      <c r="O59" t="str">
        <f t="shared" si="7"/>
        <v>Up to 10</v>
      </c>
      <c r="P59">
        <f t="shared" si="5"/>
        <v>2.0132092512048669</v>
      </c>
      <c r="Q59">
        <f t="shared" si="6"/>
        <v>-3.2092512048671473E-3</v>
      </c>
    </row>
    <row r="60" spans="1:17" x14ac:dyDescent="0.3">
      <c r="A60" s="1" t="s">
        <v>133</v>
      </c>
      <c r="B60" t="s">
        <v>134</v>
      </c>
      <c r="C60">
        <v>8.98</v>
      </c>
      <c r="D60">
        <v>1406411503</v>
      </c>
      <c r="E60">
        <v>29995577</v>
      </c>
      <c r="F60">
        <v>-0.78042999999999996</v>
      </c>
      <c r="G60">
        <v>156559601.62289631</v>
      </c>
      <c r="H60">
        <v>-0.56416051559823477</v>
      </c>
      <c r="I60">
        <v>-2.8260044865838125</v>
      </c>
      <c r="J60" t="str">
        <f t="shared" si="0"/>
        <v>E</v>
      </c>
      <c r="K60" t="b">
        <f t="shared" si="1"/>
        <v>1</v>
      </c>
      <c r="L60" t="str">
        <f t="shared" si="2"/>
        <v>5-50</v>
      </c>
      <c r="M60">
        <f t="shared" si="3"/>
        <v>52186532.744243771</v>
      </c>
      <c r="N60" t="str">
        <f t="shared" si="4"/>
        <v>0-50</v>
      </c>
      <c r="O60" t="str">
        <f t="shared" si="7"/>
        <v>Up to 10</v>
      </c>
      <c r="P60">
        <f t="shared" si="5"/>
        <v>9.0309490487166535</v>
      </c>
      <c r="Q60">
        <f t="shared" si="6"/>
        <v>-5.0949048716653067E-2</v>
      </c>
    </row>
    <row r="61" spans="1:17" x14ac:dyDescent="0.3">
      <c r="A61" s="1" t="s">
        <v>135</v>
      </c>
      <c r="B61" t="s">
        <v>136</v>
      </c>
      <c r="C61">
        <v>88.75</v>
      </c>
      <c r="D61">
        <v>1348184218</v>
      </c>
      <c r="E61">
        <v>166381553</v>
      </c>
      <c r="F61">
        <v>1.1672199999999999</v>
      </c>
      <c r="G61">
        <v>15179911.874935385</v>
      </c>
      <c r="H61">
        <v>-0.72788565888266055</v>
      </c>
      <c r="I61">
        <v>-8.2018127262532694</v>
      </c>
      <c r="J61" t="str">
        <f t="shared" si="0"/>
        <v>A</v>
      </c>
      <c r="K61" t="b">
        <f t="shared" si="1"/>
        <v>1</v>
      </c>
      <c r="L61" t="str">
        <f t="shared" si="2"/>
        <v>&gt;50</v>
      </c>
      <c r="M61">
        <f t="shared" si="3"/>
        <v>5059967.6484123329</v>
      </c>
      <c r="N61" t="str">
        <f t="shared" si="4"/>
        <v>&gt;50</v>
      </c>
      <c r="O61" t="str">
        <f t="shared" si="7"/>
        <v>Up to 10</v>
      </c>
      <c r="P61">
        <f t="shared" si="5"/>
        <v>89.400735129946554</v>
      </c>
      <c r="Q61">
        <f t="shared" si="6"/>
        <v>-0.65073512994655403</v>
      </c>
    </row>
    <row r="62" spans="1:17" x14ac:dyDescent="0.3">
      <c r="A62" s="1" t="s">
        <v>137</v>
      </c>
      <c r="B62" t="s">
        <v>138</v>
      </c>
      <c r="C62">
        <v>0.99830099999999999</v>
      </c>
      <c r="D62">
        <v>1317757144</v>
      </c>
      <c r="E62">
        <v>3135665</v>
      </c>
      <c r="F62">
        <v>-0.02</v>
      </c>
      <c r="G62">
        <v>1320000000</v>
      </c>
      <c r="H62">
        <v>-1.0009879803440602E-2</v>
      </c>
      <c r="I62">
        <v>-7.9980589497204088E-2</v>
      </c>
      <c r="J62" t="str">
        <f t="shared" si="0"/>
        <v>B</v>
      </c>
      <c r="K62" t="b">
        <f t="shared" si="1"/>
        <v>1</v>
      </c>
      <c r="L62" t="str">
        <f t="shared" si="2"/>
        <v>0.5-5</v>
      </c>
      <c r="M62">
        <f t="shared" si="3"/>
        <v>439999999.97000319</v>
      </c>
      <c r="N62" t="str">
        <f t="shared" si="4"/>
        <v>0-50</v>
      </c>
      <c r="O62" t="str">
        <f t="shared" si="7"/>
        <v>&gt;=10</v>
      </c>
      <c r="P62">
        <f t="shared" si="5"/>
        <v>0.99840093873392366</v>
      </c>
      <c r="Q62">
        <f t="shared" si="6"/>
        <v>-9.9938733923665701E-5</v>
      </c>
    </row>
    <row r="63" spans="1:17" x14ac:dyDescent="0.3">
      <c r="A63" s="1" t="s">
        <v>139</v>
      </c>
      <c r="B63" t="s">
        <v>140</v>
      </c>
      <c r="C63">
        <v>1.9</v>
      </c>
      <c r="D63">
        <v>1202146737</v>
      </c>
      <c r="E63">
        <v>16210295</v>
      </c>
      <c r="F63">
        <v>5.7377799999999999</v>
      </c>
      <c r="G63">
        <v>632970288.4273876</v>
      </c>
      <c r="H63">
        <v>-6.9964460628921921E-2</v>
      </c>
      <c r="I63">
        <v>-3.5161602546571928</v>
      </c>
      <c r="J63" t="str">
        <f t="shared" si="0"/>
        <v>M</v>
      </c>
      <c r="K63" t="b">
        <f t="shared" si="1"/>
        <v>0</v>
      </c>
      <c r="L63" t="str">
        <f t="shared" si="2"/>
        <v>0.5-5</v>
      </c>
      <c r="M63">
        <f t="shared" si="3"/>
        <v>210990094.94708765</v>
      </c>
      <c r="N63" t="str">
        <f t="shared" si="4"/>
        <v>0-50</v>
      </c>
      <c r="O63" t="str">
        <f t="shared" si="7"/>
        <v>Up to 10</v>
      </c>
      <c r="P63">
        <f t="shared" si="5"/>
        <v>1.9013302554580056</v>
      </c>
      <c r="Q63">
        <f t="shared" si="6"/>
        <v>-1.3302554580056913E-3</v>
      </c>
    </row>
    <row r="64" spans="1:17" x14ac:dyDescent="0.3">
      <c r="A64" s="1" t="s">
        <v>141</v>
      </c>
      <c r="B64" t="s">
        <v>142</v>
      </c>
      <c r="C64">
        <v>0.99926000000000004</v>
      </c>
      <c r="D64">
        <v>1080201403</v>
      </c>
      <c r="E64">
        <v>2480308</v>
      </c>
      <c r="F64">
        <v>1.034E-2</v>
      </c>
      <c r="G64">
        <v>1081001061.2661819</v>
      </c>
      <c r="H64">
        <v>7.3147164101177733E-4</v>
      </c>
      <c r="I64">
        <v>-8.9254343215381827E-3</v>
      </c>
      <c r="J64" t="str">
        <f t="shared" si="0"/>
        <v>U</v>
      </c>
      <c r="K64" t="b">
        <f t="shared" si="1"/>
        <v>1</v>
      </c>
      <c r="L64" t="str">
        <f t="shared" si="2"/>
        <v>0.5-5</v>
      </c>
      <c r="M64">
        <f t="shared" si="3"/>
        <v>360333687.08599597</v>
      </c>
      <c r="N64" t="str">
        <f t="shared" si="4"/>
        <v>0-50</v>
      </c>
      <c r="O64" t="str">
        <f t="shared" si="7"/>
        <v>Up to 10</v>
      </c>
      <c r="P64">
        <f t="shared" si="5"/>
        <v>0.99925269074994516</v>
      </c>
      <c r="Q64">
        <f t="shared" si="6"/>
        <v>7.3092500548765926E-6</v>
      </c>
    </row>
    <row r="65" spans="1:17" x14ac:dyDescent="0.3">
      <c r="A65" s="1" t="s">
        <v>143</v>
      </c>
      <c r="B65" t="s">
        <v>144</v>
      </c>
      <c r="C65">
        <v>8</v>
      </c>
      <c r="D65">
        <v>1077600775</v>
      </c>
      <c r="E65">
        <v>2801704</v>
      </c>
      <c r="F65">
        <v>0.64693000000000001</v>
      </c>
      <c r="G65">
        <v>134655021.73556709</v>
      </c>
      <c r="H65">
        <v>0.20980787852562544</v>
      </c>
      <c r="I65">
        <v>-4.0416454085957367</v>
      </c>
      <c r="J65" t="str">
        <f t="shared" si="0"/>
        <v>K</v>
      </c>
      <c r="K65" t="b">
        <f t="shared" si="1"/>
        <v>0</v>
      </c>
      <c r="L65" t="str">
        <f t="shared" si="2"/>
        <v>5-50</v>
      </c>
      <c r="M65">
        <f t="shared" si="3"/>
        <v>44885005.96790985</v>
      </c>
      <c r="N65" t="str">
        <f t="shared" si="4"/>
        <v>0-50</v>
      </c>
      <c r="O65" t="str">
        <f t="shared" si="7"/>
        <v>Up to 10</v>
      </c>
      <c r="P65">
        <f t="shared" si="5"/>
        <v>7.9832505114645098</v>
      </c>
      <c r="Q65">
        <f t="shared" si="6"/>
        <v>1.6749488535490187E-2</v>
      </c>
    </row>
    <row r="66" spans="1:17" x14ac:dyDescent="0.3">
      <c r="A66" s="1" t="s">
        <v>145</v>
      </c>
      <c r="B66" t="s">
        <v>146</v>
      </c>
      <c r="C66">
        <v>73.64</v>
      </c>
      <c r="D66">
        <v>1071707103</v>
      </c>
      <c r="E66">
        <v>9554347</v>
      </c>
      <c r="F66">
        <v>1.5471900000000001</v>
      </c>
      <c r="G66">
        <v>14544176.164081177</v>
      </c>
      <c r="H66">
        <v>-9.0844698906063295E-2</v>
      </c>
      <c r="I66">
        <v>-4.6706862453354789</v>
      </c>
      <c r="J66" t="str">
        <f t="shared" ref="J66:J129" si="8">LEFT(B66,1)</f>
        <v>Q</v>
      </c>
      <c r="K66" t="b">
        <f t="shared" ref="K66:K129" si="9">OR(J66="A",J66="E",J66="I",J66="O",J66="U",J66="B",J66="C",J66="D")</f>
        <v>0</v>
      </c>
      <c r="L66" t="str">
        <f t="shared" ref="L66:L129" si="10">IF(C66&lt;=0.05,"0-0.05",IF(C66&lt;=0.5,"0.05-0.5",IF(C66&lt;=5,"0.5-5",IF(C66&lt;=50,"5-50","&gt;50"))))</f>
        <v>&gt;50</v>
      </c>
      <c r="M66">
        <f t="shared" ref="M66:M129" si="11">ABS(AVERAGE(G66,H66,I66))</f>
        <v>4848057.1341834115</v>
      </c>
      <c r="N66" t="str">
        <f t="shared" ref="N66:N129" si="12">IF(C66&lt;=50,"0-50","&gt;50")</f>
        <v>&gt;50</v>
      </c>
      <c r="O66" t="str">
        <f t="shared" si="7"/>
        <v>Up to 10</v>
      </c>
      <c r="P66">
        <f t="shared" ref="P66:P129" si="13">C66/(1+(H66/100))</f>
        <v>73.70695886485359</v>
      </c>
      <c r="Q66">
        <f t="shared" ref="Q66:Q129" si="14">C66-P66</f>
        <v>-6.6958864853589262E-2</v>
      </c>
    </row>
    <row r="67" spans="1:17" x14ac:dyDescent="0.3">
      <c r="A67" s="1" t="s">
        <v>147</v>
      </c>
      <c r="B67" t="s">
        <v>148</v>
      </c>
      <c r="C67">
        <v>1.22</v>
      </c>
      <c r="D67">
        <v>1053097673</v>
      </c>
      <c r="E67">
        <v>0</v>
      </c>
      <c r="F67">
        <v>0.35172999999999999</v>
      </c>
      <c r="G67">
        <v>860836000.10935998</v>
      </c>
      <c r="H67">
        <v>5.9546031291903272E-2</v>
      </c>
      <c r="I67">
        <v>-0.64773590649508916</v>
      </c>
      <c r="J67" t="str">
        <f t="shared" si="8"/>
        <v>S</v>
      </c>
      <c r="K67" t="b">
        <f t="shared" si="9"/>
        <v>0</v>
      </c>
      <c r="L67" t="str">
        <f t="shared" si="10"/>
        <v>0.5-5</v>
      </c>
      <c r="M67">
        <f t="shared" si="11"/>
        <v>286945333.17372334</v>
      </c>
      <c r="N67" t="str">
        <f t="shared" si="12"/>
        <v>0-50</v>
      </c>
      <c r="O67" t="str">
        <f t="shared" si="7"/>
        <v>&gt;=10</v>
      </c>
      <c r="P67">
        <f t="shared" si="13"/>
        <v>1.2192739707398492</v>
      </c>
      <c r="Q67">
        <f t="shared" si="14"/>
        <v>7.260292601507512E-4</v>
      </c>
    </row>
    <row r="68" spans="1:17" x14ac:dyDescent="0.3">
      <c r="A68" s="1" t="s">
        <v>149</v>
      </c>
      <c r="B68" t="s">
        <v>150</v>
      </c>
      <c r="C68">
        <v>2.06</v>
      </c>
      <c r="D68">
        <v>1049545377</v>
      </c>
      <c r="E68">
        <v>35087930</v>
      </c>
      <c r="F68">
        <v>2.6810700000000001</v>
      </c>
      <c r="G68">
        <v>509738500.58006001</v>
      </c>
      <c r="H68">
        <v>-0.36321184248508648</v>
      </c>
      <c r="I68">
        <v>2.7892255445955718</v>
      </c>
      <c r="J68" t="str">
        <f t="shared" si="8"/>
        <v>C</v>
      </c>
      <c r="K68" t="b">
        <f t="shared" si="9"/>
        <v>1</v>
      </c>
      <c r="L68" t="str">
        <f t="shared" si="10"/>
        <v>0.5-5</v>
      </c>
      <c r="M68">
        <f t="shared" si="11"/>
        <v>169912834.33535787</v>
      </c>
      <c r="N68" t="str">
        <f t="shared" si="12"/>
        <v>0-50</v>
      </c>
      <c r="O68" t="str">
        <f t="shared" ref="O68:O131" si="15">IF(C67&lt;10,"Up to 10","&gt;=10")</f>
        <v>Up to 10</v>
      </c>
      <c r="P68">
        <f t="shared" si="13"/>
        <v>2.067509439127408</v>
      </c>
      <c r="Q68">
        <f t="shared" si="14"/>
        <v>-7.5094391274079797E-3</v>
      </c>
    </row>
    <row r="69" spans="1:17" x14ac:dyDescent="0.3">
      <c r="A69" s="1" t="s">
        <v>151</v>
      </c>
      <c r="B69" t="s">
        <v>152</v>
      </c>
      <c r="C69">
        <v>0.115578</v>
      </c>
      <c r="D69">
        <v>1029523423</v>
      </c>
      <c r="E69">
        <v>35020047</v>
      </c>
      <c r="F69">
        <v>1.29657</v>
      </c>
      <c r="G69">
        <v>8914080475.5440235</v>
      </c>
      <c r="H69">
        <v>3.4521222066742678E-2</v>
      </c>
      <c r="I69">
        <v>-1.1306691103516555</v>
      </c>
      <c r="J69" t="str">
        <f t="shared" si="8"/>
        <v>A</v>
      </c>
      <c r="K69" t="b">
        <f t="shared" si="9"/>
        <v>1</v>
      </c>
      <c r="L69" t="str">
        <f t="shared" si="10"/>
        <v>0.05-0.5</v>
      </c>
      <c r="M69">
        <f t="shared" si="11"/>
        <v>2971360158.149292</v>
      </c>
      <c r="N69" t="str">
        <f t="shared" si="12"/>
        <v>0-50</v>
      </c>
      <c r="O69" t="str">
        <f t="shared" si="15"/>
        <v>Up to 10</v>
      </c>
      <c r="P69">
        <f t="shared" si="13"/>
        <v>0.11553811483080752</v>
      </c>
      <c r="Q69">
        <f t="shared" si="14"/>
        <v>3.9885169192482861E-5</v>
      </c>
    </row>
    <row r="70" spans="1:17" x14ac:dyDescent="0.3">
      <c r="A70" s="1" t="s">
        <v>153</v>
      </c>
      <c r="B70" t="s">
        <v>154</v>
      </c>
      <c r="C70">
        <v>1</v>
      </c>
      <c r="D70">
        <v>1027910673</v>
      </c>
      <c r="E70">
        <v>11741382</v>
      </c>
      <c r="F70">
        <v>2.7009999999999999E-2</v>
      </c>
      <c r="G70">
        <v>1027858682.01</v>
      </c>
      <c r="H70">
        <v>3.6520957212520331E-3</v>
      </c>
      <c r="I70">
        <v>2.9818843530029011E-2</v>
      </c>
      <c r="J70" t="str">
        <f t="shared" si="8"/>
        <v>U</v>
      </c>
      <c r="K70" t="b">
        <f t="shared" si="9"/>
        <v>1</v>
      </c>
      <c r="L70" t="str">
        <f t="shared" si="10"/>
        <v>0.5-5</v>
      </c>
      <c r="M70">
        <f t="shared" si="11"/>
        <v>342619560.68115699</v>
      </c>
      <c r="N70" t="str">
        <f t="shared" si="12"/>
        <v>0-50</v>
      </c>
      <c r="O70" t="str">
        <f t="shared" si="15"/>
        <v>Up to 10</v>
      </c>
      <c r="P70">
        <f t="shared" si="13"/>
        <v>0.99996348037651894</v>
      </c>
      <c r="Q70">
        <f t="shared" si="14"/>
        <v>3.6519623481057195E-5</v>
      </c>
    </row>
    <row r="71" spans="1:17" x14ac:dyDescent="0.3">
      <c r="A71" s="1" t="s">
        <v>155</v>
      </c>
      <c r="B71" t="s">
        <v>156</v>
      </c>
      <c r="C71">
        <v>1.93</v>
      </c>
      <c r="D71">
        <v>999815531</v>
      </c>
      <c r="E71">
        <v>62513512</v>
      </c>
      <c r="F71">
        <v>3.1774300000000002</v>
      </c>
      <c r="G71">
        <v>518743261.01407421</v>
      </c>
      <c r="H71">
        <v>-1.536708769952134</v>
      </c>
      <c r="I71">
        <v>3.2769830750706395</v>
      </c>
      <c r="J71" t="str">
        <f t="shared" si="8"/>
        <v>R</v>
      </c>
      <c r="K71" t="b">
        <f t="shared" si="9"/>
        <v>0</v>
      </c>
      <c r="L71" t="str">
        <f t="shared" si="10"/>
        <v>0.5-5</v>
      </c>
      <c r="M71">
        <f t="shared" si="11"/>
        <v>172914420.91811618</v>
      </c>
      <c r="N71" t="str">
        <f t="shared" si="12"/>
        <v>0-50</v>
      </c>
      <c r="O71" t="str">
        <f t="shared" si="15"/>
        <v>Up to 10</v>
      </c>
      <c r="P71">
        <f t="shared" si="13"/>
        <v>1.9601213567915199</v>
      </c>
      <c r="Q71">
        <f t="shared" si="14"/>
        <v>-3.0121356791519949E-2</v>
      </c>
    </row>
    <row r="72" spans="1:17" x14ac:dyDescent="0.3">
      <c r="A72" s="1" t="s">
        <v>157</v>
      </c>
      <c r="B72" t="s">
        <v>158</v>
      </c>
      <c r="C72">
        <v>1.1000000000000001</v>
      </c>
      <c r="D72">
        <v>989146526</v>
      </c>
      <c r="E72">
        <v>0</v>
      </c>
      <c r="F72">
        <v>1.123E-2</v>
      </c>
      <c r="G72">
        <v>895904381.31546998</v>
      </c>
      <c r="H72">
        <v>0</v>
      </c>
      <c r="I72">
        <v>8.1673351916064146E-2</v>
      </c>
      <c r="J72" t="str">
        <f t="shared" si="8"/>
        <v>J</v>
      </c>
      <c r="K72" t="b">
        <f t="shared" si="9"/>
        <v>0</v>
      </c>
      <c r="L72" t="str">
        <f t="shared" si="10"/>
        <v>0.5-5</v>
      </c>
      <c r="M72">
        <f t="shared" si="11"/>
        <v>298634793.79904777</v>
      </c>
      <c r="N72" t="str">
        <f t="shared" si="12"/>
        <v>0-50</v>
      </c>
      <c r="O72" t="str">
        <f t="shared" si="15"/>
        <v>Up to 10</v>
      </c>
      <c r="P72">
        <f t="shared" si="13"/>
        <v>1.1000000000000001</v>
      </c>
      <c r="Q72">
        <f t="shared" si="14"/>
        <v>0</v>
      </c>
    </row>
    <row r="73" spans="1:17" x14ac:dyDescent="0.3">
      <c r="A73" s="1" t="s">
        <v>159</v>
      </c>
      <c r="B73" t="s">
        <v>160</v>
      </c>
      <c r="C73">
        <v>11.09</v>
      </c>
      <c r="D73">
        <v>985963054</v>
      </c>
      <c r="E73">
        <v>0</v>
      </c>
      <c r="F73">
        <v>9.6200000000000001E-3</v>
      </c>
      <c r="G73">
        <v>88925714.028620005</v>
      </c>
      <c r="H73">
        <v>0</v>
      </c>
      <c r="I73">
        <v>6.6244584572892867E-2</v>
      </c>
      <c r="J73" t="str">
        <f t="shared" si="8"/>
        <v>S</v>
      </c>
      <c r="K73" t="b">
        <f t="shared" si="9"/>
        <v>0</v>
      </c>
      <c r="L73" t="str">
        <f t="shared" si="10"/>
        <v>5-50</v>
      </c>
      <c r="M73">
        <f t="shared" si="11"/>
        <v>29641904.698288199</v>
      </c>
      <c r="N73" t="str">
        <f t="shared" si="12"/>
        <v>0-50</v>
      </c>
      <c r="O73" t="str">
        <f t="shared" si="15"/>
        <v>Up to 10</v>
      </c>
      <c r="P73">
        <f t="shared" si="13"/>
        <v>11.09</v>
      </c>
      <c r="Q73">
        <f t="shared" si="14"/>
        <v>0</v>
      </c>
    </row>
    <row r="74" spans="1:17" x14ac:dyDescent="0.3">
      <c r="A74" s="1" t="s">
        <v>161</v>
      </c>
      <c r="B74" t="s">
        <v>162</v>
      </c>
      <c r="C74">
        <v>9.1508000000000006E-2</v>
      </c>
      <c r="D74">
        <v>973978951</v>
      </c>
      <c r="E74">
        <v>44097780</v>
      </c>
      <c r="F74">
        <v>1.5019</v>
      </c>
      <c r="G74">
        <v>10646887322.070221</v>
      </c>
      <c r="H74">
        <v>3.8823601440828505E-2</v>
      </c>
      <c r="I74">
        <v>-3.0048907592840153</v>
      </c>
      <c r="J74" t="str">
        <f t="shared" si="8"/>
        <v>P</v>
      </c>
      <c r="K74" t="b">
        <f t="shared" si="9"/>
        <v>0</v>
      </c>
      <c r="L74" t="str">
        <f t="shared" si="10"/>
        <v>0.05-0.5</v>
      </c>
      <c r="M74">
        <f t="shared" si="11"/>
        <v>3548962439.701385</v>
      </c>
      <c r="N74" t="str">
        <f t="shared" si="12"/>
        <v>0-50</v>
      </c>
      <c r="O74" t="str">
        <f t="shared" si="15"/>
        <v>&gt;=10</v>
      </c>
      <c r="P74">
        <f t="shared" si="13"/>
        <v>9.1472487086185647E-2</v>
      </c>
      <c r="Q74">
        <f t="shared" si="14"/>
        <v>3.5512913814358948E-5</v>
      </c>
    </row>
    <row r="75" spans="1:17" x14ac:dyDescent="0.3">
      <c r="A75" s="1" t="s">
        <v>163</v>
      </c>
      <c r="B75" t="s">
        <v>164</v>
      </c>
      <c r="C75">
        <v>105.74</v>
      </c>
      <c r="D75">
        <v>963514617</v>
      </c>
      <c r="E75">
        <v>0</v>
      </c>
      <c r="F75">
        <v>0</v>
      </c>
      <c r="G75">
        <v>9112111</v>
      </c>
      <c r="H75">
        <v>0</v>
      </c>
      <c r="I75">
        <v>-0.12279210352319792</v>
      </c>
      <c r="J75" t="str">
        <f t="shared" si="8"/>
        <v>B</v>
      </c>
      <c r="K75" t="b">
        <f t="shared" si="9"/>
        <v>1</v>
      </c>
      <c r="L75" t="str">
        <f t="shared" si="10"/>
        <v>&gt;50</v>
      </c>
      <c r="M75">
        <f t="shared" si="11"/>
        <v>3037370.2924026321</v>
      </c>
      <c r="N75" t="str">
        <f t="shared" si="12"/>
        <v>&gt;50</v>
      </c>
      <c r="O75" t="str">
        <f t="shared" si="15"/>
        <v>Up to 10</v>
      </c>
      <c r="P75">
        <f t="shared" si="13"/>
        <v>105.74</v>
      </c>
      <c r="Q75">
        <f t="shared" si="14"/>
        <v>0</v>
      </c>
    </row>
    <row r="76" spans="1:17" x14ac:dyDescent="0.3">
      <c r="A76" s="1" t="s">
        <v>165</v>
      </c>
      <c r="B76" t="s">
        <v>166</v>
      </c>
      <c r="C76">
        <v>0.10625999999999999</v>
      </c>
      <c r="D76">
        <v>959107924</v>
      </c>
      <c r="E76">
        <v>66101808</v>
      </c>
      <c r="F76">
        <v>0.46399000000000001</v>
      </c>
      <c r="G76">
        <v>9026562500</v>
      </c>
      <c r="H76">
        <v>-0.92173924283602915</v>
      </c>
      <c r="I76">
        <v>-8.896123708383346</v>
      </c>
      <c r="J76" t="str">
        <f t="shared" si="8"/>
        <v>E</v>
      </c>
      <c r="K76" t="b">
        <f t="shared" si="9"/>
        <v>1</v>
      </c>
      <c r="L76" t="str">
        <f t="shared" si="10"/>
        <v>0.05-0.5</v>
      </c>
      <c r="M76">
        <f t="shared" si="11"/>
        <v>3008854163.3940454</v>
      </c>
      <c r="N76" t="str">
        <f t="shared" si="12"/>
        <v>0-50</v>
      </c>
      <c r="O76" t="str">
        <f t="shared" si="15"/>
        <v>&gt;=10</v>
      </c>
      <c r="P76">
        <f t="shared" si="13"/>
        <v>0.10724855199107514</v>
      </c>
      <c r="Q76">
        <f t="shared" si="14"/>
        <v>-9.885519910751428E-4</v>
      </c>
    </row>
    <row r="77" spans="1:17" x14ac:dyDescent="0.3">
      <c r="A77" s="1" t="s">
        <v>167</v>
      </c>
      <c r="B77" t="s">
        <v>168</v>
      </c>
      <c r="C77">
        <v>3.4611650000000001E-2</v>
      </c>
      <c r="D77">
        <v>949184238</v>
      </c>
      <c r="E77">
        <v>11030254</v>
      </c>
      <c r="F77">
        <v>1.4296800000000001</v>
      </c>
      <c r="G77">
        <v>27416658504.52483</v>
      </c>
      <c r="H77">
        <v>-1.2834753987679129E-2</v>
      </c>
      <c r="I77">
        <v>-6.3114970334573002</v>
      </c>
      <c r="J77" t="str">
        <f t="shared" si="8"/>
        <v>K</v>
      </c>
      <c r="K77" t="b">
        <f t="shared" si="9"/>
        <v>0</v>
      </c>
      <c r="L77" t="str">
        <f t="shared" si="10"/>
        <v>0-0.05</v>
      </c>
      <c r="M77">
        <f t="shared" si="11"/>
        <v>9138886166.0668316</v>
      </c>
      <c r="N77" t="str">
        <f t="shared" si="12"/>
        <v>0-50</v>
      </c>
      <c r="O77" t="str">
        <f t="shared" si="15"/>
        <v>Up to 10</v>
      </c>
      <c r="P77">
        <f t="shared" si="13"/>
        <v>3.4616092890362625E-2</v>
      </c>
      <c r="Q77">
        <f t="shared" si="14"/>
        <v>-4.4428903626242411E-6</v>
      </c>
    </row>
    <row r="78" spans="1:17" x14ac:dyDescent="0.3">
      <c r="A78" s="1" t="s">
        <v>169</v>
      </c>
      <c r="B78" t="s">
        <v>170</v>
      </c>
      <c r="C78">
        <v>0.26061099999999998</v>
      </c>
      <c r="D78">
        <v>887675558</v>
      </c>
      <c r="E78">
        <v>110048825</v>
      </c>
      <c r="F78">
        <v>8.4536599999999993</v>
      </c>
      <c r="G78">
        <v>3409949399.5384851</v>
      </c>
      <c r="H78">
        <v>-1.3984860526017806</v>
      </c>
      <c r="I78">
        <v>1.293213257277972</v>
      </c>
      <c r="J78" t="str">
        <f t="shared" si="8"/>
        <v>W</v>
      </c>
      <c r="K78" t="b">
        <f t="shared" si="9"/>
        <v>0</v>
      </c>
      <c r="L78" t="str">
        <f t="shared" si="10"/>
        <v>0.05-0.5</v>
      </c>
      <c r="M78">
        <f t="shared" si="11"/>
        <v>1136649799.8110707</v>
      </c>
      <c r="N78" t="str">
        <f t="shared" si="12"/>
        <v>0-50</v>
      </c>
      <c r="O78" t="str">
        <f t="shared" si="15"/>
        <v>Up to 10</v>
      </c>
      <c r="P78">
        <f t="shared" si="13"/>
        <v>0.26430730073681252</v>
      </c>
      <c r="Q78">
        <f t="shared" si="14"/>
        <v>-3.6963007368125411E-3</v>
      </c>
    </row>
    <row r="79" spans="1:17" x14ac:dyDescent="0.3">
      <c r="A79" s="1" t="s">
        <v>171</v>
      </c>
      <c r="B79" t="s">
        <v>172</v>
      </c>
      <c r="C79">
        <v>0.87499899999999997</v>
      </c>
      <c r="D79">
        <v>874989490</v>
      </c>
      <c r="E79">
        <v>6721641</v>
      </c>
      <c r="F79">
        <v>-1.7375499999999999</v>
      </c>
      <c r="G79">
        <v>1000000000</v>
      </c>
      <c r="H79">
        <v>-3.8154939888950794E-2</v>
      </c>
      <c r="I79">
        <v>-2.6357846277267436</v>
      </c>
      <c r="J79" t="str">
        <f t="shared" si="8"/>
        <v>N</v>
      </c>
      <c r="K79" t="b">
        <f t="shared" si="9"/>
        <v>0</v>
      </c>
      <c r="L79" t="str">
        <f t="shared" si="10"/>
        <v>0.5-5</v>
      </c>
      <c r="M79">
        <f t="shared" si="11"/>
        <v>333333332.44202012</v>
      </c>
      <c r="N79" t="str">
        <f t="shared" si="12"/>
        <v>0-50</v>
      </c>
      <c r="O79" t="str">
        <f t="shared" si="15"/>
        <v>Up to 10</v>
      </c>
      <c r="P79">
        <f t="shared" si="13"/>
        <v>0.87533298277340532</v>
      </c>
      <c r="Q79">
        <f t="shared" si="14"/>
        <v>-3.3398277340535021E-4</v>
      </c>
    </row>
    <row r="80" spans="1:17" x14ac:dyDescent="0.3">
      <c r="A80" s="1" t="s">
        <v>173</v>
      </c>
      <c r="B80" t="s">
        <v>174</v>
      </c>
      <c r="C80">
        <v>3.4954939999999997E-2</v>
      </c>
      <c r="D80">
        <v>799607364</v>
      </c>
      <c r="E80">
        <v>15591964</v>
      </c>
      <c r="F80">
        <v>1.4436500000000001</v>
      </c>
      <c r="G80">
        <v>22870992455</v>
      </c>
      <c r="H80">
        <v>0.14167470231893425</v>
      </c>
      <c r="I80">
        <v>-11.232735821622622</v>
      </c>
      <c r="J80" t="str">
        <f t="shared" si="8"/>
        <v>​</v>
      </c>
      <c r="K80" t="b">
        <f t="shared" si="9"/>
        <v>0</v>
      </c>
      <c r="L80" t="str">
        <f t="shared" si="10"/>
        <v>0-0.05</v>
      </c>
      <c r="M80">
        <f t="shared" si="11"/>
        <v>7623664147.9696465</v>
      </c>
      <c r="N80" t="str">
        <f t="shared" si="12"/>
        <v>0-50</v>
      </c>
      <c r="O80" t="str">
        <f t="shared" si="15"/>
        <v>Up to 10</v>
      </c>
      <c r="P80">
        <f t="shared" si="13"/>
        <v>3.490548775413136E-2</v>
      </c>
      <c r="Q80">
        <f t="shared" si="14"/>
        <v>4.9452245868636391E-5</v>
      </c>
    </row>
    <row r="81" spans="1:17" x14ac:dyDescent="0.3">
      <c r="A81" s="1" t="s">
        <v>175</v>
      </c>
      <c r="B81" t="s">
        <v>176</v>
      </c>
      <c r="C81">
        <v>9.2516000000000001E-2</v>
      </c>
      <c r="D81">
        <v>789993555</v>
      </c>
      <c r="E81">
        <v>34640427</v>
      </c>
      <c r="F81">
        <v>-0.55352999999999997</v>
      </c>
      <c r="G81">
        <v>8543764567.3127356</v>
      </c>
      <c r="H81">
        <v>0.27689853311011403</v>
      </c>
      <c r="I81">
        <v>4.4561859262116386</v>
      </c>
      <c r="J81" t="str">
        <f t="shared" si="8"/>
        <v>J</v>
      </c>
      <c r="K81" t="b">
        <f t="shared" si="9"/>
        <v>0</v>
      </c>
      <c r="L81" t="str">
        <f t="shared" si="10"/>
        <v>0.05-0.5</v>
      </c>
      <c r="M81">
        <f t="shared" si="11"/>
        <v>2847921524.0152736</v>
      </c>
      <c r="N81" t="str">
        <f t="shared" si="12"/>
        <v>0-50</v>
      </c>
      <c r="O81" t="str">
        <f t="shared" si="15"/>
        <v>Up to 10</v>
      </c>
      <c r="P81">
        <f t="shared" si="13"/>
        <v>9.2260531940417403E-2</v>
      </c>
      <c r="Q81">
        <f t="shared" si="14"/>
        <v>2.5546805958259755E-4</v>
      </c>
    </row>
    <row r="82" spans="1:17" x14ac:dyDescent="0.3">
      <c r="A82" s="1" t="s">
        <v>177</v>
      </c>
      <c r="B82" t="s">
        <v>178</v>
      </c>
      <c r="C82">
        <v>0.95929299999999995</v>
      </c>
      <c r="D82">
        <v>785803758</v>
      </c>
      <c r="E82">
        <v>48009124</v>
      </c>
      <c r="F82">
        <v>1.6013900000000001</v>
      </c>
      <c r="G82">
        <v>819317910.35773444</v>
      </c>
      <c r="H82">
        <v>-0.93372226689195204</v>
      </c>
      <c r="I82">
        <v>-7.019568455126433</v>
      </c>
      <c r="J82" t="str">
        <f t="shared" si="8"/>
        <v>A</v>
      </c>
      <c r="K82" t="b">
        <f t="shared" si="9"/>
        <v>1</v>
      </c>
      <c r="L82" t="str">
        <f t="shared" si="10"/>
        <v>0.5-5</v>
      </c>
      <c r="M82">
        <f t="shared" si="11"/>
        <v>273105967.46814793</v>
      </c>
      <c r="N82" t="str">
        <f t="shared" si="12"/>
        <v>0-50</v>
      </c>
      <c r="O82" t="str">
        <f t="shared" si="15"/>
        <v>Up to 10</v>
      </c>
      <c r="P82">
        <f t="shared" si="13"/>
        <v>0.96833455536141877</v>
      </c>
      <c r="Q82">
        <f t="shared" si="14"/>
        <v>-9.0415553614188182E-3</v>
      </c>
    </row>
    <row r="83" spans="1:17" x14ac:dyDescent="0.3">
      <c r="A83" s="1" t="s">
        <v>179</v>
      </c>
      <c r="B83" t="s">
        <v>180</v>
      </c>
      <c r="C83">
        <v>16.89</v>
      </c>
      <c r="D83">
        <v>781616755</v>
      </c>
      <c r="E83">
        <v>108434656</v>
      </c>
      <c r="F83">
        <v>-2.3229099999999998</v>
      </c>
      <c r="G83">
        <v>46267307.575830609</v>
      </c>
      <c r="H83">
        <v>-5.6718009400309854E-2</v>
      </c>
      <c r="I83">
        <v>22.03687715400676</v>
      </c>
      <c r="J83" t="str">
        <f t="shared" si="8"/>
        <v>V</v>
      </c>
      <c r="K83" t="b">
        <f t="shared" si="9"/>
        <v>0</v>
      </c>
      <c r="L83" t="str">
        <f t="shared" si="10"/>
        <v>5-50</v>
      </c>
      <c r="M83">
        <f t="shared" si="11"/>
        <v>15422443.18532992</v>
      </c>
      <c r="N83" t="str">
        <f t="shared" si="12"/>
        <v>0-50</v>
      </c>
      <c r="O83" t="str">
        <f t="shared" si="15"/>
        <v>Up to 10</v>
      </c>
      <c r="P83">
        <f t="shared" si="13"/>
        <v>16.899585108270323</v>
      </c>
      <c r="Q83">
        <f t="shared" si="14"/>
        <v>-9.5851082703219959E-3</v>
      </c>
    </row>
    <row r="84" spans="1:17" x14ac:dyDescent="0.3">
      <c r="A84" s="1" t="s">
        <v>181</v>
      </c>
      <c r="B84" t="s">
        <v>182</v>
      </c>
      <c r="C84">
        <v>0.98548500000000006</v>
      </c>
      <c r="D84">
        <v>770554907</v>
      </c>
      <c r="E84">
        <v>67873335</v>
      </c>
      <c r="F84">
        <v>3.1208200000000001</v>
      </c>
      <c r="G84">
        <v>782029454</v>
      </c>
      <c r="H84">
        <v>-0.7649258471107746</v>
      </c>
      <c r="I84">
        <v>-5.4094864130691684</v>
      </c>
      <c r="J84" t="str">
        <f t="shared" si="8"/>
        <v>F</v>
      </c>
      <c r="K84" t="b">
        <f t="shared" si="9"/>
        <v>0</v>
      </c>
      <c r="L84" t="str">
        <f t="shared" si="10"/>
        <v>0.5-5</v>
      </c>
      <c r="M84">
        <f t="shared" si="11"/>
        <v>260676482.60852924</v>
      </c>
      <c r="N84" t="str">
        <f t="shared" si="12"/>
        <v>0-50</v>
      </c>
      <c r="O84" t="str">
        <f t="shared" si="15"/>
        <v>&gt;=10</v>
      </c>
      <c r="P84">
        <f t="shared" si="13"/>
        <v>0.99308133582052416</v>
      </c>
      <c r="Q84">
        <f t="shared" si="14"/>
        <v>-7.5963358205241027E-3</v>
      </c>
    </row>
    <row r="85" spans="1:17" x14ac:dyDescent="0.3">
      <c r="A85" s="1" t="s">
        <v>183</v>
      </c>
      <c r="B85" t="s">
        <v>184</v>
      </c>
      <c r="C85">
        <v>7.01</v>
      </c>
      <c r="D85">
        <v>745811006</v>
      </c>
      <c r="E85">
        <v>2262298</v>
      </c>
      <c r="F85">
        <v>0.16386999999999999</v>
      </c>
      <c r="G85">
        <v>106483509.17747104</v>
      </c>
      <c r="H85">
        <v>-0.93137384136615964</v>
      </c>
      <c r="I85">
        <v>-3.6393198685997072</v>
      </c>
      <c r="J85" t="str">
        <f t="shared" si="8"/>
        <v>G</v>
      </c>
      <c r="K85" t="b">
        <f t="shared" si="9"/>
        <v>0</v>
      </c>
      <c r="L85" t="str">
        <f t="shared" si="10"/>
        <v>5-50</v>
      </c>
      <c r="M85">
        <f t="shared" si="11"/>
        <v>35494501.535592444</v>
      </c>
      <c r="N85" t="str">
        <f t="shared" si="12"/>
        <v>0-50</v>
      </c>
      <c r="O85" t="str">
        <f t="shared" si="15"/>
        <v>Up to 10</v>
      </c>
      <c r="P85">
        <f t="shared" si="13"/>
        <v>7.0759031106126606</v>
      </c>
      <c r="Q85">
        <f t="shared" si="14"/>
        <v>-6.5903110612660853E-2</v>
      </c>
    </row>
    <row r="86" spans="1:17" x14ac:dyDescent="0.3">
      <c r="A86" s="1" t="s">
        <v>185</v>
      </c>
      <c r="B86" t="s">
        <v>186</v>
      </c>
      <c r="C86">
        <v>8.4871300000000007E-3</v>
      </c>
      <c r="D86">
        <v>732225757</v>
      </c>
      <c r="E86">
        <v>2918587</v>
      </c>
      <c r="F86">
        <v>2.0306500000000001</v>
      </c>
      <c r="G86">
        <v>86257463059.199478</v>
      </c>
      <c r="H86">
        <v>-0.28081130095493589</v>
      </c>
      <c r="I86">
        <v>-2.1574832681693898</v>
      </c>
      <c r="J86" t="str">
        <f t="shared" si="8"/>
        <v>F</v>
      </c>
      <c r="K86" t="b">
        <f t="shared" si="9"/>
        <v>0</v>
      </c>
      <c r="L86" t="str">
        <f t="shared" si="10"/>
        <v>0-0.05</v>
      </c>
      <c r="M86">
        <f t="shared" si="11"/>
        <v>28752487685.587063</v>
      </c>
      <c r="N86" t="str">
        <f t="shared" si="12"/>
        <v>0-50</v>
      </c>
      <c r="O86" t="str">
        <f t="shared" si="15"/>
        <v>Up to 10</v>
      </c>
      <c r="P86">
        <f t="shared" si="13"/>
        <v>8.5110299338819976E-3</v>
      </c>
      <c r="Q86">
        <f t="shared" si="14"/>
        <v>-2.3899933881996877E-5</v>
      </c>
    </row>
    <row r="87" spans="1:17" x14ac:dyDescent="0.3">
      <c r="A87" s="1" t="s">
        <v>187</v>
      </c>
      <c r="B87" t="s">
        <v>188</v>
      </c>
      <c r="C87">
        <v>3.5748380000000003E-2</v>
      </c>
      <c r="D87">
        <v>714263811</v>
      </c>
      <c r="E87">
        <v>32745443</v>
      </c>
      <c r="F87">
        <v>0.22980999999999999</v>
      </c>
      <c r="G87">
        <v>19946688440</v>
      </c>
      <c r="H87">
        <v>-3.2478520796764006E-2</v>
      </c>
      <c r="I87">
        <v>8.2376586786797397</v>
      </c>
      <c r="J87" t="str">
        <f t="shared" si="8"/>
        <v>X</v>
      </c>
      <c r="K87" t="b">
        <f t="shared" si="9"/>
        <v>0</v>
      </c>
      <c r="L87" t="str">
        <f t="shared" si="10"/>
        <v>0-0.05</v>
      </c>
      <c r="M87">
        <f t="shared" si="11"/>
        <v>6648896149.4017267</v>
      </c>
      <c r="N87" t="str">
        <f t="shared" si="12"/>
        <v>0-50</v>
      </c>
      <c r="O87" t="str">
        <f t="shared" si="15"/>
        <v>Up to 10</v>
      </c>
      <c r="P87">
        <f t="shared" si="13"/>
        <v>3.5759994317191235E-2</v>
      </c>
      <c r="Q87">
        <f t="shared" si="14"/>
        <v>-1.1614317191231682E-5</v>
      </c>
    </row>
    <row r="88" spans="1:17" x14ac:dyDescent="0.3">
      <c r="A88" s="1" t="s">
        <v>189</v>
      </c>
      <c r="B88" t="s">
        <v>190</v>
      </c>
      <c r="C88">
        <v>0.21218899999999999</v>
      </c>
      <c r="D88">
        <v>705339346</v>
      </c>
      <c r="E88">
        <v>38883116</v>
      </c>
      <c r="F88">
        <v>3.4136000000000002</v>
      </c>
      <c r="G88">
        <v>3320312968.0799999</v>
      </c>
      <c r="H88">
        <v>-1.3785026420975171</v>
      </c>
      <c r="I88">
        <v>-4.1658289097265229</v>
      </c>
      <c r="J88" t="str">
        <f t="shared" si="8"/>
        <v>J</v>
      </c>
      <c r="K88" t="b">
        <f t="shared" si="9"/>
        <v>0</v>
      </c>
      <c r="L88" t="str">
        <f t="shared" si="10"/>
        <v>0.05-0.5</v>
      </c>
      <c r="M88">
        <f t="shared" si="11"/>
        <v>1106770987.5118895</v>
      </c>
      <c r="N88" t="str">
        <f t="shared" si="12"/>
        <v>0-50</v>
      </c>
      <c r="O88" t="str">
        <f t="shared" si="15"/>
        <v>Up to 10</v>
      </c>
      <c r="P88">
        <f t="shared" si="13"/>
        <v>0.21515491620448146</v>
      </c>
      <c r="Q88">
        <f t="shared" si="14"/>
        <v>-2.9659162044814724E-3</v>
      </c>
    </row>
    <row r="89" spans="1:17" x14ac:dyDescent="0.3">
      <c r="A89" s="1" t="s">
        <v>191</v>
      </c>
      <c r="B89" t="s">
        <v>192</v>
      </c>
      <c r="C89">
        <v>0.11032599999999999</v>
      </c>
      <c r="D89">
        <v>690561431</v>
      </c>
      <c r="E89">
        <v>50658367</v>
      </c>
      <c r="F89">
        <v>-2.4925799999999998</v>
      </c>
      <c r="G89">
        <v>6255821492</v>
      </c>
      <c r="H89">
        <v>-1.1177254384630504</v>
      </c>
      <c r="I89">
        <v>-15.228825902003171</v>
      </c>
      <c r="J89" t="str">
        <f t="shared" si="8"/>
        <v>A</v>
      </c>
      <c r="K89" t="b">
        <f t="shared" si="9"/>
        <v>1</v>
      </c>
      <c r="L89" t="str">
        <f t="shared" si="10"/>
        <v>0.05-0.5</v>
      </c>
      <c r="M89">
        <f t="shared" si="11"/>
        <v>2085273825.2178164</v>
      </c>
      <c r="N89" t="str">
        <f t="shared" si="12"/>
        <v>0-50</v>
      </c>
      <c r="O89" t="str">
        <f t="shared" si="15"/>
        <v>Up to 10</v>
      </c>
      <c r="P89">
        <f t="shared" si="13"/>
        <v>0.11157308070552252</v>
      </c>
      <c r="Q89">
        <f t="shared" si="14"/>
        <v>-1.2470807055225269E-3</v>
      </c>
    </row>
    <row r="90" spans="1:17" x14ac:dyDescent="0.3">
      <c r="A90" s="1" t="s">
        <v>193</v>
      </c>
      <c r="B90" t="s">
        <v>194</v>
      </c>
      <c r="C90">
        <v>1.7726700000000001E-3</v>
      </c>
      <c r="D90">
        <v>628297399</v>
      </c>
      <c r="E90">
        <v>47532224</v>
      </c>
      <c r="F90">
        <v>3.70689</v>
      </c>
      <c r="G90">
        <v>354503454572.23492</v>
      </c>
      <c r="H90">
        <v>-0.75974920005497459</v>
      </c>
      <c r="I90">
        <v>-4.2158166934426378</v>
      </c>
      <c r="J90" t="str">
        <f t="shared" si="8"/>
        <v>P</v>
      </c>
      <c r="K90" t="b">
        <f t="shared" si="9"/>
        <v>0</v>
      </c>
      <c r="L90" t="str">
        <f t="shared" si="10"/>
        <v>0-0.05</v>
      </c>
      <c r="M90">
        <f t="shared" si="11"/>
        <v>118167818189.08644</v>
      </c>
      <c r="N90" t="str">
        <f t="shared" si="12"/>
        <v>0-50</v>
      </c>
      <c r="O90" t="str">
        <f t="shared" si="15"/>
        <v>Up to 10</v>
      </c>
      <c r="P90">
        <f t="shared" si="13"/>
        <v>1.7862409513388514E-3</v>
      </c>
      <c r="Q90">
        <f t="shared" si="14"/>
        <v>-1.3570951338851304E-5</v>
      </c>
    </row>
    <row r="91" spans="1:17" x14ac:dyDescent="0.3">
      <c r="A91" s="1" t="s">
        <v>195</v>
      </c>
      <c r="B91" t="s">
        <v>196</v>
      </c>
      <c r="C91">
        <v>13.39</v>
      </c>
      <c r="D91">
        <v>626921415</v>
      </c>
      <c r="E91">
        <v>10672926</v>
      </c>
      <c r="F91">
        <v>-4.5962100000000001</v>
      </c>
      <c r="G91">
        <v>46750552.583840348</v>
      </c>
      <c r="H91">
        <v>-1.4819695960968398</v>
      </c>
      <c r="I91">
        <v>9.1321532709053184</v>
      </c>
      <c r="J91" t="str">
        <f t="shared" si="8"/>
        <v>D</v>
      </c>
      <c r="K91" t="b">
        <f t="shared" si="9"/>
        <v>1</v>
      </c>
      <c r="L91" t="str">
        <f t="shared" si="10"/>
        <v>5-50</v>
      </c>
      <c r="M91">
        <f t="shared" si="11"/>
        <v>15583520.078008009</v>
      </c>
      <c r="N91" t="str">
        <f t="shared" si="12"/>
        <v>0-50</v>
      </c>
      <c r="O91" t="str">
        <f t="shared" si="15"/>
        <v>Up to 10</v>
      </c>
      <c r="P91">
        <f t="shared" si="13"/>
        <v>13.591420722789344</v>
      </c>
      <c r="Q91">
        <f t="shared" si="14"/>
        <v>-0.20142072278934364</v>
      </c>
    </row>
    <row r="92" spans="1:17" x14ac:dyDescent="0.3">
      <c r="A92" s="1" t="s">
        <v>197</v>
      </c>
      <c r="B92" t="s">
        <v>198</v>
      </c>
      <c r="C92">
        <v>48.18</v>
      </c>
      <c r="D92">
        <v>611780199</v>
      </c>
      <c r="E92">
        <v>251426107</v>
      </c>
      <c r="F92">
        <v>3.3366099999999999</v>
      </c>
      <c r="G92">
        <v>12700590.883829391</v>
      </c>
      <c r="H92">
        <v>0.37147373851804905</v>
      </c>
      <c r="I92">
        <v>9.2307544775422112</v>
      </c>
      <c r="J92" t="str">
        <f t="shared" si="8"/>
        <v>D</v>
      </c>
      <c r="K92" t="b">
        <f t="shared" si="9"/>
        <v>1</v>
      </c>
      <c r="L92" t="str">
        <f t="shared" si="10"/>
        <v>5-50</v>
      </c>
      <c r="M92">
        <f t="shared" si="11"/>
        <v>4233533.4953525355</v>
      </c>
      <c r="N92" t="str">
        <f t="shared" si="12"/>
        <v>0-50</v>
      </c>
      <c r="O92" t="str">
        <f t="shared" si="15"/>
        <v>&gt;=10</v>
      </c>
      <c r="P92">
        <f t="shared" si="13"/>
        <v>48.001686341196653</v>
      </c>
      <c r="Q92">
        <f t="shared" si="14"/>
        <v>0.17831365880334715</v>
      </c>
    </row>
    <row r="93" spans="1:17" x14ac:dyDescent="0.3">
      <c r="A93" s="1" t="s">
        <v>199</v>
      </c>
      <c r="B93" t="s">
        <v>200</v>
      </c>
      <c r="C93">
        <v>7.8797000000000006E-2</v>
      </c>
      <c r="D93">
        <v>609790101</v>
      </c>
      <c r="E93">
        <v>11772521</v>
      </c>
      <c r="F93">
        <v>-4.3470000000000002E-2</v>
      </c>
      <c r="G93">
        <v>7738210159.5190372</v>
      </c>
      <c r="H93">
        <v>-0.1827800413121955</v>
      </c>
      <c r="I93">
        <v>-0.14256689116433208</v>
      </c>
      <c r="J93" t="str">
        <f t="shared" si="8"/>
        <v>B</v>
      </c>
      <c r="K93" t="b">
        <f t="shared" si="9"/>
        <v>1</v>
      </c>
      <c r="L93" t="str">
        <f t="shared" si="10"/>
        <v>0.05-0.5</v>
      </c>
      <c r="M93">
        <f t="shared" si="11"/>
        <v>2579403386.3978968</v>
      </c>
      <c r="N93" t="str">
        <f t="shared" si="12"/>
        <v>0-50</v>
      </c>
      <c r="O93" t="str">
        <f t="shared" si="15"/>
        <v>&gt;=10</v>
      </c>
      <c r="P93">
        <f t="shared" si="13"/>
        <v>7.8941288920501271E-2</v>
      </c>
      <c r="Q93">
        <f t="shared" si="14"/>
        <v>-1.4428892050126485E-4</v>
      </c>
    </row>
    <row r="94" spans="1:17" x14ac:dyDescent="0.3">
      <c r="A94" s="1" t="s">
        <v>201</v>
      </c>
      <c r="B94" t="s">
        <v>202</v>
      </c>
      <c r="C94">
        <v>9.3138400000000003E-3</v>
      </c>
      <c r="D94">
        <v>585593972</v>
      </c>
      <c r="E94">
        <v>138903200</v>
      </c>
      <c r="F94">
        <v>5.4921699999999998</v>
      </c>
      <c r="G94">
        <v>62860396090</v>
      </c>
      <c r="H94">
        <v>0.10685062857596712</v>
      </c>
      <c r="I94">
        <v>3.7381059626018862</v>
      </c>
      <c r="J94" t="str">
        <f t="shared" si="8"/>
        <v>P</v>
      </c>
      <c r="K94" t="b">
        <f t="shared" si="9"/>
        <v>0</v>
      </c>
      <c r="L94" t="str">
        <f t="shared" si="10"/>
        <v>0-0.05</v>
      </c>
      <c r="M94">
        <f t="shared" si="11"/>
        <v>20953465364.614986</v>
      </c>
      <c r="N94" t="str">
        <f t="shared" si="12"/>
        <v>0-50</v>
      </c>
      <c r="O94" t="str">
        <f t="shared" si="15"/>
        <v>Up to 10</v>
      </c>
      <c r="P94">
        <f t="shared" si="13"/>
        <v>9.3038987257294883E-3</v>
      </c>
      <c r="Q94">
        <f t="shared" si="14"/>
        <v>9.9412742705119739E-6</v>
      </c>
    </row>
    <row r="95" spans="1:17" x14ac:dyDescent="0.3">
      <c r="A95" s="1" t="s">
        <v>203</v>
      </c>
      <c r="B95" t="s">
        <v>204</v>
      </c>
      <c r="C95">
        <v>0.99903600000000004</v>
      </c>
      <c r="D95">
        <v>583421585</v>
      </c>
      <c r="E95">
        <v>3117919</v>
      </c>
      <c r="F95">
        <v>9.6799999999999994E-3</v>
      </c>
      <c r="G95">
        <v>584000000</v>
      </c>
      <c r="H95">
        <v>1.0227157700040065E-2</v>
      </c>
      <c r="I95">
        <v>-2.7486512004468867E-2</v>
      </c>
      <c r="J95" t="str">
        <f t="shared" si="8"/>
        <v>G</v>
      </c>
      <c r="K95" t="b">
        <f t="shared" si="9"/>
        <v>0</v>
      </c>
      <c r="L95" t="str">
        <f t="shared" si="10"/>
        <v>0.5-5</v>
      </c>
      <c r="M95">
        <f t="shared" si="11"/>
        <v>194666666.66091356</v>
      </c>
      <c r="N95" t="str">
        <f t="shared" si="12"/>
        <v>0-50</v>
      </c>
      <c r="O95" t="str">
        <f t="shared" si="15"/>
        <v>Up to 10</v>
      </c>
      <c r="P95">
        <f t="shared" si="13"/>
        <v>0.99893383746112374</v>
      </c>
      <c r="Q95">
        <f t="shared" si="14"/>
        <v>1.0216253887629367E-4</v>
      </c>
    </row>
    <row r="96" spans="1:17" x14ac:dyDescent="0.3">
      <c r="A96" s="1" t="s">
        <v>205</v>
      </c>
      <c r="B96" t="s">
        <v>206</v>
      </c>
      <c r="C96">
        <v>6.5942500000000003E-3</v>
      </c>
      <c r="D96">
        <v>566928477</v>
      </c>
      <c r="E96">
        <v>11495143</v>
      </c>
      <c r="F96">
        <v>0.25842999999999999</v>
      </c>
      <c r="G96">
        <v>85985041177</v>
      </c>
      <c r="H96">
        <v>-0.43788924434869664</v>
      </c>
      <c r="I96">
        <v>-8.8862103991739332</v>
      </c>
      <c r="J96" t="str">
        <f t="shared" si="8"/>
        <v>V</v>
      </c>
      <c r="K96" t="b">
        <f t="shared" si="9"/>
        <v>0</v>
      </c>
      <c r="L96" t="str">
        <f t="shared" si="10"/>
        <v>0-0.05</v>
      </c>
      <c r="M96">
        <f t="shared" si="11"/>
        <v>28661680389.225296</v>
      </c>
      <c r="N96" t="str">
        <f t="shared" si="12"/>
        <v>0-50</v>
      </c>
      <c r="O96" t="str">
        <f t="shared" si="15"/>
        <v>Up to 10</v>
      </c>
      <c r="P96">
        <f t="shared" si="13"/>
        <v>6.6232525103689611E-3</v>
      </c>
      <c r="Q96">
        <f t="shared" si="14"/>
        <v>-2.9002510368960829E-5</v>
      </c>
    </row>
    <row r="97" spans="1:17" x14ac:dyDescent="0.3">
      <c r="A97" s="1" t="s">
        <v>207</v>
      </c>
      <c r="B97" t="s">
        <v>208</v>
      </c>
      <c r="C97">
        <v>115.31</v>
      </c>
      <c r="D97">
        <v>555161212</v>
      </c>
      <c r="E97">
        <v>0</v>
      </c>
      <c r="F97">
        <v>9.1900000000000003E-3</v>
      </c>
      <c r="G97">
        <v>4814710.1425328404</v>
      </c>
      <c r="H97">
        <v>0</v>
      </c>
      <c r="I97">
        <v>6.6172595311753374E-2</v>
      </c>
      <c r="J97" t="str">
        <f t="shared" si="8"/>
        <v>O</v>
      </c>
      <c r="K97" t="b">
        <f t="shared" si="9"/>
        <v>1</v>
      </c>
      <c r="L97" t="str">
        <f t="shared" si="10"/>
        <v>&gt;50</v>
      </c>
      <c r="M97">
        <f t="shared" si="11"/>
        <v>1604903.4029018118</v>
      </c>
      <c r="N97" t="str">
        <f t="shared" si="12"/>
        <v>&gt;50</v>
      </c>
      <c r="O97" t="str">
        <f t="shared" si="15"/>
        <v>Up to 10</v>
      </c>
      <c r="P97">
        <f t="shared" si="13"/>
        <v>115.31</v>
      </c>
      <c r="Q97">
        <f t="shared" si="14"/>
        <v>0</v>
      </c>
    </row>
    <row r="98" spans="1:17" x14ac:dyDescent="0.3">
      <c r="A98" s="1" t="s">
        <v>209</v>
      </c>
      <c r="B98" t="s">
        <v>210</v>
      </c>
      <c r="C98">
        <v>0.99855000000000005</v>
      </c>
      <c r="D98">
        <v>554746416</v>
      </c>
      <c r="E98">
        <v>1228302</v>
      </c>
      <c r="F98">
        <v>5.0619999999999998E-2</v>
      </c>
      <c r="G98">
        <v>555552300.31639993</v>
      </c>
      <c r="H98">
        <v>4.4487532887839989E-4</v>
      </c>
      <c r="I98">
        <v>5.8494212316431975E-2</v>
      </c>
      <c r="J98" t="str">
        <f t="shared" si="8"/>
        <v>U</v>
      </c>
      <c r="K98" t="b">
        <f t="shared" si="9"/>
        <v>1</v>
      </c>
      <c r="L98" t="str">
        <f t="shared" si="10"/>
        <v>0.5-5</v>
      </c>
      <c r="M98">
        <f t="shared" si="11"/>
        <v>185184100.12511301</v>
      </c>
      <c r="N98" t="str">
        <f t="shared" si="12"/>
        <v>0-50</v>
      </c>
      <c r="O98" t="str">
        <f t="shared" si="15"/>
        <v>&gt;=10</v>
      </c>
      <c r="P98">
        <f t="shared" si="13"/>
        <v>0.99854555771716602</v>
      </c>
      <c r="Q98">
        <f t="shared" si="14"/>
        <v>4.4422828340273668E-6</v>
      </c>
    </row>
    <row r="99" spans="1:17" x14ac:dyDescent="0.3">
      <c r="A99" s="1" t="s">
        <v>211</v>
      </c>
      <c r="B99" t="s">
        <v>212</v>
      </c>
      <c r="C99">
        <v>6.1600000000000003E-6</v>
      </c>
      <c r="D99">
        <v>542162583</v>
      </c>
      <c r="E99">
        <v>34969387</v>
      </c>
      <c r="F99">
        <v>2.5339999999999998</v>
      </c>
      <c r="G99">
        <v>87994732460591.313</v>
      </c>
      <c r="H99">
        <v>-0.53513109172105677</v>
      </c>
      <c r="I99">
        <v>-9.2711236175321154</v>
      </c>
      <c r="J99" t="str">
        <f t="shared" si="8"/>
        <v>B</v>
      </c>
      <c r="K99" t="b">
        <f t="shared" si="9"/>
        <v>1</v>
      </c>
      <c r="L99" t="str">
        <f t="shared" si="10"/>
        <v>0-0.05</v>
      </c>
      <c r="M99">
        <f t="shared" si="11"/>
        <v>29331577486860.504</v>
      </c>
      <c r="N99" t="str">
        <f t="shared" si="12"/>
        <v>0-50</v>
      </c>
      <c r="O99" t="str">
        <f t="shared" si="15"/>
        <v>Up to 10</v>
      </c>
      <c r="P99">
        <f t="shared" si="13"/>
        <v>6.1931414253211499E-6</v>
      </c>
      <c r="Q99">
        <f t="shared" si="14"/>
        <v>-3.3141425321149549E-8</v>
      </c>
    </row>
    <row r="100" spans="1:17" x14ac:dyDescent="0.3">
      <c r="A100" s="1" t="s">
        <v>213</v>
      </c>
      <c r="B100" t="s">
        <v>214</v>
      </c>
      <c r="C100">
        <v>0.236182</v>
      </c>
      <c r="D100">
        <v>536559178</v>
      </c>
      <c r="E100">
        <v>30694234</v>
      </c>
      <c r="F100">
        <v>2.7501799999999998</v>
      </c>
      <c r="G100">
        <v>2273255814</v>
      </c>
      <c r="H100">
        <v>-0.29263925232682847</v>
      </c>
      <c r="I100">
        <v>5.8203748195879621</v>
      </c>
      <c r="J100" t="str">
        <f t="shared" si="8"/>
        <v>K</v>
      </c>
      <c r="K100" t="b">
        <f t="shared" si="9"/>
        <v>0</v>
      </c>
      <c r="L100" t="str">
        <f t="shared" si="10"/>
        <v>0.05-0.5</v>
      </c>
      <c r="M100">
        <f t="shared" si="11"/>
        <v>757751939.84257853</v>
      </c>
      <c r="N100" t="str">
        <f t="shared" si="12"/>
        <v>0-50</v>
      </c>
      <c r="O100" t="str">
        <f t="shared" si="15"/>
        <v>Up to 10</v>
      </c>
      <c r="P100">
        <f t="shared" si="13"/>
        <v>0.23687518978433264</v>
      </c>
      <c r="Q100">
        <f t="shared" si="14"/>
        <v>-6.9318978433263734E-4</v>
      </c>
    </row>
    <row r="101" spans="1:17" x14ac:dyDescent="0.3">
      <c r="A101" s="1" t="s">
        <v>215</v>
      </c>
      <c r="B101" t="s">
        <v>216</v>
      </c>
      <c r="C101">
        <v>1.004557E-2</v>
      </c>
      <c r="D101">
        <v>535073172</v>
      </c>
      <c r="E101">
        <v>11898.39</v>
      </c>
      <c r="F101">
        <v>-4.2564500000000001</v>
      </c>
      <c r="G101">
        <v>53241942609</v>
      </c>
      <c r="H101">
        <v>-6.1557530964273965</v>
      </c>
      <c r="I101">
        <v>-4.5766535204846894</v>
      </c>
      <c r="J101" t="str">
        <f t="shared" si="8"/>
        <v>P</v>
      </c>
      <c r="K101" t="b">
        <f t="shared" si="9"/>
        <v>0</v>
      </c>
      <c r="L101" t="str">
        <f t="shared" si="10"/>
        <v>0-0.05</v>
      </c>
      <c r="M101">
        <f t="shared" si="11"/>
        <v>17747314199.422531</v>
      </c>
      <c r="N101" t="str">
        <f t="shared" si="12"/>
        <v>0-50</v>
      </c>
      <c r="O101" t="str">
        <f t="shared" si="15"/>
        <v>Up to 10</v>
      </c>
      <c r="P101">
        <f t="shared" si="13"/>
        <v>1.0704513416067032E-2</v>
      </c>
      <c r="Q101">
        <f t="shared" si="14"/>
        <v>-6.589434160670319E-4</v>
      </c>
    </row>
    <row r="102" spans="1:17" x14ac:dyDescent="0.3">
      <c r="A102" s="1" t="s">
        <v>217</v>
      </c>
      <c r="B102" t="s">
        <v>218</v>
      </c>
      <c r="C102">
        <v>1.299224E-2</v>
      </c>
      <c r="D102">
        <v>509421258</v>
      </c>
      <c r="E102">
        <v>78284</v>
      </c>
      <c r="F102">
        <v>4.8166700000000002</v>
      </c>
      <c r="G102">
        <v>39209890572.960739</v>
      </c>
      <c r="H102">
        <v>0.74374329820953344</v>
      </c>
      <c r="I102">
        <v>0.75623263296258847</v>
      </c>
      <c r="J102" t="str">
        <f t="shared" si="8"/>
        <v>A</v>
      </c>
      <c r="K102" t="b">
        <f t="shared" si="9"/>
        <v>1</v>
      </c>
      <c r="L102" t="str">
        <f t="shared" si="10"/>
        <v>0-0.05</v>
      </c>
      <c r="M102">
        <f t="shared" si="11"/>
        <v>13069963524.820238</v>
      </c>
      <c r="N102" t="str">
        <f t="shared" si="12"/>
        <v>0-50</v>
      </c>
      <c r="O102" t="str">
        <f t="shared" si="15"/>
        <v>Up to 10</v>
      </c>
      <c r="P102">
        <f t="shared" si="13"/>
        <v>1.2896324451178998E-2</v>
      </c>
      <c r="Q102">
        <f t="shared" si="14"/>
        <v>9.5915548821002769E-5</v>
      </c>
    </row>
    <row r="103" spans="1:17" x14ac:dyDescent="0.3">
      <c r="A103" s="1" t="s">
        <v>219</v>
      </c>
      <c r="B103" t="s">
        <v>220</v>
      </c>
      <c r="C103">
        <v>0.99986399999999998</v>
      </c>
      <c r="D103">
        <v>504635570</v>
      </c>
      <c r="E103">
        <v>2026087</v>
      </c>
      <c r="F103">
        <v>1.2239999999999999E-2</v>
      </c>
      <c r="G103">
        <v>504704181.41000003</v>
      </c>
      <c r="H103">
        <v>5.8097547618077491E-3</v>
      </c>
      <c r="I103">
        <v>1.4835584255099897E-2</v>
      </c>
      <c r="J103" t="str">
        <f t="shared" si="8"/>
        <v>Y</v>
      </c>
      <c r="K103" t="b">
        <f t="shared" si="9"/>
        <v>0</v>
      </c>
      <c r="L103" t="str">
        <f t="shared" si="10"/>
        <v>0.5-5</v>
      </c>
      <c r="M103">
        <f t="shared" si="11"/>
        <v>168234727.14354846</v>
      </c>
      <c r="N103" t="str">
        <f t="shared" si="12"/>
        <v>0-50</v>
      </c>
      <c r="O103" t="str">
        <f t="shared" si="15"/>
        <v>Up to 10</v>
      </c>
      <c r="P103">
        <f t="shared" si="13"/>
        <v>0.99980591372831829</v>
      </c>
      <c r="Q103">
        <f t="shared" si="14"/>
        <v>5.8086271681689894E-5</v>
      </c>
    </row>
    <row r="104" spans="1:17" x14ac:dyDescent="0.3">
      <c r="A104" s="1" t="s">
        <v>221</v>
      </c>
      <c r="B104" t="s">
        <v>222</v>
      </c>
      <c r="C104">
        <v>3.027649E-2</v>
      </c>
      <c r="D104">
        <v>500335866</v>
      </c>
      <c r="E104">
        <v>68767187</v>
      </c>
      <c r="F104">
        <v>-1.4766300000000001</v>
      </c>
      <c r="G104">
        <v>16607399400.634951</v>
      </c>
      <c r="H104">
        <v>0.53323550554772248</v>
      </c>
      <c r="I104">
        <v>-6.7427124026041891</v>
      </c>
      <c r="J104" t="str">
        <f t="shared" si="8"/>
        <v>M</v>
      </c>
      <c r="K104" t="b">
        <f>OR(UPPER(TRIM(J2))="A",UPPER(TRIM(J2))="E",UPPER(TRIM(J2))="I",UPPER(TRIM(J2))="O",UPPER(TRIM(J2))="U",UPPER(TRIM(J2))="B",UPPER(TRIM(J2))="C",UPPER(TRIM(J2))="D")</f>
        <v>1</v>
      </c>
      <c r="L104" t="str">
        <f t="shared" si="10"/>
        <v>0-0.05</v>
      </c>
      <c r="M104">
        <f t="shared" si="11"/>
        <v>5535799798.1418247</v>
      </c>
      <c r="N104" t="str">
        <f t="shared" si="12"/>
        <v>0-50</v>
      </c>
      <c r="O104" t="str">
        <f t="shared" si="15"/>
        <v>Up to 10</v>
      </c>
      <c r="P104">
        <f t="shared" si="13"/>
        <v>3.0115901321338907E-2</v>
      </c>
      <c r="Q104">
        <f t="shared" si="14"/>
        <v>1.605886786610923E-4</v>
      </c>
    </row>
    <row r="105" spans="1:17" x14ac:dyDescent="0.3">
      <c r="A105" s="1" t="s">
        <v>223</v>
      </c>
      <c r="B105" t="s">
        <v>224</v>
      </c>
      <c r="C105">
        <v>0.99854200000000004</v>
      </c>
      <c r="D105">
        <v>493826340</v>
      </c>
      <c r="E105">
        <v>9117214</v>
      </c>
      <c r="F105">
        <v>-4.6580000000000003E-2</v>
      </c>
      <c r="G105">
        <v>494515083</v>
      </c>
      <c r="H105">
        <v>-8.5989128240925403E-2</v>
      </c>
      <c r="I105">
        <v>-0.10563502589927184</v>
      </c>
      <c r="J105" t="str">
        <f t="shared" si="8"/>
        <v>T</v>
      </c>
      <c r="K105" t="b">
        <f t="shared" si="9"/>
        <v>0</v>
      </c>
      <c r="L105" t="str">
        <f t="shared" si="10"/>
        <v>0.5-5</v>
      </c>
      <c r="M105">
        <f t="shared" si="11"/>
        <v>164838360.93612528</v>
      </c>
      <c r="N105" t="str">
        <f t="shared" si="12"/>
        <v>0-50</v>
      </c>
      <c r="O105" t="str">
        <f t="shared" si="15"/>
        <v>Up to 10</v>
      </c>
      <c r="P105">
        <f t="shared" si="13"/>
        <v>0.99940137653130712</v>
      </c>
      <c r="Q105">
        <f t="shared" si="14"/>
        <v>-8.593765313070767E-4</v>
      </c>
    </row>
    <row r="106" spans="1:17" x14ac:dyDescent="0.3">
      <c r="A106" s="1" t="s">
        <v>225</v>
      </c>
      <c r="B106" t="s">
        <v>226</v>
      </c>
      <c r="C106">
        <v>4.93</v>
      </c>
      <c r="D106">
        <v>493155119</v>
      </c>
      <c r="E106">
        <v>100075977</v>
      </c>
      <c r="F106">
        <v>-0.23676</v>
      </c>
      <c r="G106">
        <v>100000000</v>
      </c>
      <c r="H106">
        <v>-0.94066156139839119</v>
      </c>
      <c r="I106">
        <v>-1.8249166526109768</v>
      </c>
      <c r="J106" t="str">
        <f t="shared" si="8"/>
        <v>I</v>
      </c>
      <c r="K106" t="b">
        <f t="shared" si="9"/>
        <v>1</v>
      </c>
      <c r="L106" t="str">
        <f t="shared" si="10"/>
        <v>0.5-5</v>
      </c>
      <c r="M106">
        <f t="shared" si="11"/>
        <v>33333332.41147393</v>
      </c>
      <c r="N106" t="str">
        <f t="shared" si="12"/>
        <v>0-50</v>
      </c>
      <c r="O106" t="str">
        <f t="shared" si="15"/>
        <v>Up to 10</v>
      </c>
      <c r="P106">
        <f t="shared" si="13"/>
        <v>4.9768149855509929</v>
      </c>
      <c r="Q106">
        <f t="shared" si="14"/>
        <v>-4.6814985550993171E-2</v>
      </c>
    </row>
    <row r="107" spans="1:17" x14ac:dyDescent="0.3">
      <c r="A107" s="1" t="s">
        <v>227</v>
      </c>
      <c r="B107" t="s">
        <v>228</v>
      </c>
      <c r="C107">
        <v>0.99967799999999996</v>
      </c>
      <c r="D107">
        <v>491551696</v>
      </c>
      <c r="E107">
        <v>6534951</v>
      </c>
      <c r="F107">
        <v>7.9900000000000006E-3</v>
      </c>
      <c r="G107">
        <v>491720349.27916372</v>
      </c>
      <c r="H107">
        <v>3.1267460640867009E-3</v>
      </c>
      <c r="I107">
        <v>-1.3009006591644962E-2</v>
      </c>
      <c r="J107" t="str">
        <f t="shared" si="8"/>
        <v>a</v>
      </c>
      <c r="K107" t="b">
        <f t="shared" si="9"/>
        <v>1</v>
      </c>
      <c r="L107" t="str">
        <f t="shared" si="10"/>
        <v>0.5-5</v>
      </c>
      <c r="M107">
        <f t="shared" si="11"/>
        <v>163906783.08976048</v>
      </c>
      <c r="N107" t="str">
        <f t="shared" si="12"/>
        <v>0-50</v>
      </c>
      <c r="O107" t="str">
        <f t="shared" si="15"/>
        <v>Up to 10</v>
      </c>
      <c r="P107">
        <f t="shared" si="13"/>
        <v>0.99964674358479011</v>
      </c>
      <c r="Q107">
        <f t="shared" si="14"/>
        <v>3.1256415209846011E-5</v>
      </c>
    </row>
    <row r="108" spans="1:17" x14ac:dyDescent="0.3">
      <c r="A108" s="1" t="s">
        <v>229</v>
      </c>
      <c r="B108" t="s">
        <v>230</v>
      </c>
      <c r="C108">
        <v>1.38</v>
      </c>
      <c r="D108">
        <v>484016676</v>
      </c>
      <c r="E108">
        <v>9308078</v>
      </c>
      <c r="F108">
        <v>0.50178</v>
      </c>
      <c r="G108">
        <v>350000000</v>
      </c>
      <c r="H108">
        <v>0.85723729515254488</v>
      </c>
      <c r="I108">
        <v>1.396854929538426</v>
      </c>
      <c r="J108" t="str">
        <f t="shared" si="8"/>
        <v>e</v>
      </c>
      <c r="K108" t="b">
        <f t="shared" si="9"/>
        <v>1</v>
      </c>
      <c r="L108" t="str">
        <f t="shared" si="10"/>
        <v>0.5-5</v>
      </c>
      <c r="M108">
        <f t="shared" si="11"/>
        <v>116666667.41803074</v>
      </c>
      <c r="N108" t="str">
        <f t="shared" si="12"/>
        <v>0-50</v>
      </c>
      <c r="O108" t="str">
        <f t="shared" si="15"/>
        <v>Up to 10</v>
      </c>
      <c r="P108">
        <f t="shared" si="13"/>
        <v>1.368270673488224</v>
      </c>
      <c r="Q108">
        <f t="shared" si="14"/>
        <v>1.1729326511775939E-2</v>
      </c>
    </row>
    <row r="109" spans="1:17" x14ac:dyDescent="0.3">
      <c r="A109" s="1" t="s">
        <v>231</v>
      </c>
      <c r="B109" t="s">
        <v>232</v>
      </c>
      <c r="C109">
        <v>2.04</v>
      </c>
      <c r="D109">
        <v>483210114</v>
      </c>
      <c r="E109">
        <v>59723454</v>
      </c>
      <c r="F109">
        <v>-0.16904</v>
      </c>
      <c r="G109">
        <v>237414040.342428</v>
      </c>
      <c r="H109">
        <v>-0.80213476534117634</v>
      </c>
      <c r="I109">
        <v>-13.813769668634448</v>
      </c>
      <c r="J109" t="str">
        <f t="shared" si="8"/>
        <v>O</v>
      </c>
      <c r="K109" t="b">
        <f t="shared" si="9"/>
        <v>1</v>
      </c>
      <c r="L109" t="str">
        <f t="shared" si="10"/>
        <v>0.5-5</v>
      </c>
      <c r="M109">
        <f t="shared" si="11"/>
        <v>79138008.575507864</v>
      </c>
      <c r="N109" t="str">
        <f t="shared" si="12"/>
        <v>0-50</v>
      </c>
      <c r="O109" t="str">
        <f t="shared" si="15"/>
        <v>Up to 10</v>
      </c>
      <c r="P109">
        <f t="shared" si="13"/>
        <v>2.0564958683074992</v>
      </c>
      <c r="Q109">
        <f t="shared" si="14"/>
        <v>-1.6495868307499162E-2</v>
      </c>
    </row>
    <row r="110" spans="1:17" x14ac:dyDescent="0.3">
      <c r="A110" s="1" t="s">
        <v>233</v>
      </c>
      <c r="B110" t="s">
        <v>234</v>
      </c>
      <c r="C110">
        <v>0.73280100000000004</v>
      </c>
      <c r="D110">
        <v>481511519</v>
      </c>
      <c r="E110">
        <v>51906066</v>
      </c>
      <c r="F110">
        <v>1.76427</v>
      </c>
      <c r="G110">
        <v>656986027.21708381</v>
      </c>
      <c r="H110">
        <v>-0.91518623852076797</v>
      </c>
      <c r="I110">
        <v>-4.6572740844001377</v>
      </c>
      <c r="J110" t="str">
        <f t="shared" si="8"/>
        <v>V</v>
      </c>
      <c r="K110" t="b">
        <f t="shared" si="9"/>
        <v>0</v>
      </c>
      <c r="L110" t="str">
        <f t="shared" si="10"/>
        <v>0.5-5</v>
      </c>
      <c r="M110">
        <f t="shared" si="11"/>
        <v>218995340.54820779</v>
      </c>
      <c r="N110" t="str">
        <f t="shared" si="12"/>
        <v>0-50</v>
      </c>
      <c r="O110" t="str">
        <f t="shared" si="15"/>
        <v>Up to 10</v>
      </c>
      <c r="P110">
        <f t="shared" si="13"/>
        <v>0.73956943771830341</v>
      </c>
      <c r="Q110">
        <f t="shared" si="14"/>
        <v>-6.7684377183033773E-3</v>
      </c>
    </row>
    <row r="111" spans="1:17" x14ac:dyDescent="0.3">
      <c r="A111" s="1" t="s">
        <v>235</v>
      </c>
      <c r="B111" t="s">
        <v>236</v>
      </c>
      <c r="C111">
        <v>1.45</v>
      </c>
      <c r="D111">
        <v>473253637</v>
      </c>
      <c r="E111">
        <v>26951217</v>
      </c>
      <c r="F111">
        <v>2.7536999999999998</v>
      </c>
      <c r="G111">
        <v>325805256.9312923</v>
      </c>
      <c r="H111">
        <v>4.1447496129224208E-2</v>
      </c>
      <c r="I111">
        <v>-4.5586737825745454</v>
      </c>
      <c r="J111" t="str">
        <f t="shared" si="8"/>
        <v>P</v>
      </c>
      <c r="K111" t="b">
        <f t="shared" si="9"/>
        <v>0</v>
      </c>
      <c r="L111" t="str">
        <f t="shared" si="10"/>
        <v>0.5-5</v>
      </c>
      <c r="M111">
        <f t="shared" si="11"/>
        <v>108601750.80468868</v>
      </c>
      <c r="N111" t="str">
        <f t="shared" si="12"/>
        <v>0-50</v>
      </c>
      <c r="O111" t="str">
        <f t="shared" si="15"/>
        <v>Up to 10</v>
      </c>
      <c r="P111">
        <f t="shared" si="13"/>
        <v>1.4493992602976911</v>
      </c>
      <c r="Q111">
        <f t="shared" si="14"/>
        <v>6.0073970230889451E-4</v>
      </c>
    </row>
    <row r="112" spans="1:17" x14ac:dyDescent="0.3">
      <c r="A112" s="1" t="s">
        <v>237</v>
      </c>
      <c r="B112" t="s">
        <v>238</v>
      </c>
      <c r="C112">
        <v>0.248942</v>
      </c>
      <c r="D112">
        <v>454150391</v>
      </c>
      <c r="E112">
        <v>229213280</v>
      </c>
      <c r="F112">
        <v>2.8649</v>
      </c>
      <c r="G112">
        <v>1825000000</v>
      </c>
      <c r="H112">
        <v>-2.0648232511594364</v>
      </c>
      <c r="I112">
        <v>-2.3655724660467539</v>
      </c>
      <c r="J112" t="str">
        <f t="shared" si="8"/>
        <v>H</v>
      </c>
      <c r="K112" t="b">
        <f t="shared" si="9"/>
        <v>0</v>
      </c>
      <c r="L112" t="str">
        <f t="shared" si="10"/>
        <v>0.05-0.5</v>
      </c>
      <c r="M112">
        <f t="shared" si="11"/>
        <v>608333331.85653484</v>
      </c>
      <c r="N112" t="str">
        <f t="shared" si="12"/>
        <v>0-50</v>
      </c>
      <c r="O112" t="str">
        <f t="shared" si="15"/>
        <v>Up to 10</v>
      </c>
      <c r="P112">
        <f t="shared" si="13"/>
        <v>0.254190586328775</v>
      </c>
      <c r="Q112">
        <f t="shared" si="14"/>
        <v>-5.2485863287750067E-3</v>
      </c>
    </row>
    <row r="113" spans="1:17" x14ac:dyDescent="0.3">
      <c r="A113" s="1" t="s">
        <v>239</v>
      </c>
      <c r="B113" t="s">
        <v>240</v>
      </c>
      <c r="C113">
        <v>0.24349899999999999</v>
      </c>
      <c r="D113">
        <v>450568187</v>
      </c>
      <c r="E113">
        <v>7230788</v>
      </c>
      <c r="F113">
        <v>2.0144600000000001</v>
      </c>
      <c r="G113">
        <v>1845898459.4012599</v>
      </c>
      <c r="H113">
        <v>-0.38965096199466137</v>
      </c>
      <c r="I113">
        <v>-9.2811525963922445</v>
      </c>
      <c r="J113" t="str">
        <f t="shared" si="8"/>
        <v>S</v>
      </c>
      <c r="K113" t="b">
        <f t="shared" si="9"/>
        <v>0</v>
      </c>
      <c r="L113" t="str">
        <f t="shared" si="10"/>
        <v>0.05-0.5</v>
      </c>
      <c r="M113">
        <f t="shared" si="11"/>
        <v>615299483.24348545</v>
      </c>
      <c r="N113" t="str">
        <f t="shared" si="12"/>
        <v>0-50</v>
      </c>
      <c r="O113" t="str">
        <f t="shared" si="15"/>
        <v>Up to 10</v>
      </c>
      <c r="P113">
        <f t="shared" si="13"/>
        <v>0.24445150765117324</v>
      </c>
      <c r="Q113">
        <f t="shared" si="14"/>
        <v>-9.5250765117324554E-4</v>
      </c>
    </row>
    <row r="114" spans="1:17" x14ac:dyDescent="0.3">
      <c r="A114" s="1" t="s">
        <v>241</v>
      </c>
      <c r="B114" t="s">
        <v>242</v>
      </c>
      <c r="C114">
        <v>4.3249959999999997E-2</v>
      </c>
      <c r="D114">
        <v>448688448</v>
      </c>
      <c r="E114">
        <v>84052258</v>
      </c>
      <c r="F114">
        <v>-7.3443399999999999</v>
      </c>
      <c r="G114">
        <v>10372142749</v>
      </c>
      <c r="H114">
        <v>-1.1358438426370945</v>
      </c>
      <c r="I114">
        <v>1.7245388111977915</v>
      </c>
      <c r="J114" t="str">
        <f t="shared" si="8"/>
        <v>C</v>
      </c>
      <c r="K114" t="b">
        <f t="shared" si="9"/>
        <v>1</v>
      </c>
      <c r="L114" t="str">
        <f t="shared" si="10"/>
        <v>0-0.05</v>
      </c>
      <c r="M114">
        <f t="shared" si="11"/>
        <v>3457380916.5295653</v>
      </c>
      <c r="N114" t="str">
        <f t="shared" si="12"/>
        <v>0-50</v>
      </c>
      <c r="O114" t="str">
        <f t="shared" si="15"/>
        <v>Up to 10</v>
      </c>
      <c r="P114">
        <f t="shared" si="13"/>
        <v>4.3746855969881211E-2</v>
      </c>
      <c r="Q114">
        <f t="shared" si="14"/>
        <v>-4.9689596988121421E-4</v>
      </c>
    </row>
    <row r="115" spans="1:17" ht="28.8" x14ac:dyDescent="0.3">
      <c r="A115" s="1" t="s">
        <v>243</v>
      </c>
      <c r="B115" t="s">
        <v>244</v>
      </c>
      <c r="C115">
        <v>0.43762800000000002</v>
      </c>
      <c r="D115">
        <v>437904814</v>
      </c>
      <c r="E115">
        <v>15983599</v>
      </c>
      <c r="F115">
        <v>-0.85145000000000004</v>
      </c>
      <c r="G115">
        <v>1000000000</v>
      </c>
      <c r="H115">
        <v>0.41786221904224868</v>
      </c>
      <c r="I115">
        <v>13.129260580405759</v>
      </c>
      <c r="J115" t="str">
        <f t="shared" si="8"/>
        <v>币</v>
      </c>
      <c r="K115" t="b">
        <f t="shared" si="9"/>
        <v>0</v>
      </c>
      <c r="L115" t="str">
        <f t="shared" si="10"/>
        <v>0.05-0.5</v>
      </c>
      <c r="M115">
        <f t="shared" si="11"/>
        <v>333333337.84904093</v>
      </c>
      <c r="N115" t="str">
        <f t="shared" si="12"/>
        <v>0-50</v>
      </c>
      <c r="O115" t="str">
        <f t="shared" si="15"/>
        <v>Up to 10</v>
      </c>
      <c r="P115">
        <f t="shared" si="13"/>
        <v>0.43580692750200029</v>
      </c>
      <c r="Q115">
        <f t="shared" si="14"/>
        <v>1.8210724979997317E-3</v>
      </c>
    </row>
    <row r="116" spans="1:17" x14ac:dyDescent="0.3">
      <c r="A116" s="1" t="s">
        <v>245</v>
      </c>
      <c r="B116" t="s">
        <v>246</v>
      </c>
      <c r="C116">
        <v>0.19362299999999999</v>
      </c>
      <c r="D116">
        <v>437557298</v>
      </c>
      <c r="E116">
        <v>47546131</v>
      </c>
      <c r="F116">
        <v>1.5843400000000001</v>
      </c>
      <c r="G116">
        <v>2258865649.6699901</v>
      </c>
      <c r="H116">
        <v>-1.2785764690005983</v>
      </c>
      <c r="I116">
        <v>-8.2902450202843294</v>
      </c>
      <c r="J116" t="str">
        <f t="shared" si="8"/>
        <v>A</v>
      </c>
      <c r="K116" t="b">
        <f t="shared" si="9"/>
        <v>1</v>
      </c>
      <c r="L116" t="str">
        <f t="shared" si="10"/>
        <v>0.05-0.5</v>
      </c>
      <c r="M116">
        <f t="shared" si="11"/>
        <v>752955213.36705625</v>
      </c>
      <c r="N116" t="str">
        <f t="shared" si="12"/>
        <v>0-50</v>
      </c>
      <c r="O116" t="str">
        <f t="shared" si="15"/>
        <v>Up to 10</v>
      </c>
      <c r="P116">
        <f t="shared" si="13"/>
        <v>0.19613068073233431</v>
      </c>
      <c r="Q116">
        <f t="shared" si="14"/>
        <v>-2.5076807323343164E-3</v>
      </c>
    </row>
    <row r="117" spans="1:17" x14ac:dyDescent="0.3">
      <c r="A117" s="1" t="s">
        <v>247</v>
      </c>
      <c r="B117" t="s">
        <v>248</v>
      </c>
      <c r="C117">
        <v>1.1599999999999999</v>
      </c>
      <c r="D117">
        <v>433989659</v>
      </c>
      <c r="E117">
        <v>36447491</v>
      </c>
      <c r="F117">
        <v>0.30115999999999998</v>
      </c>
      <c r="G117">
        <v>373181744.18950713</v>
      </c>
      <c r="H117">
        <v>2.3664700818693984E-2</v>
      </c>
      <c r="I117">
        <v>-0.69619386757828416</v>
      </c>
      <c r="J117" t="str">
        <f t="shared" si="8"/>
        <v>E</v>
      </c>
      <c r="K117" t="b">
        <f t="shared" si="9"/>
        <v>1</v>
      </c>
      <c r="L117" t="str">
        <f t="shared" si="10"/>
        <v>0.5-5</v>
      </c>
      <c r="M117">
        <f t="shared" si="11"/>
        <v>124393914.50565933</v>
      </c>
      <c r="N117" t="str">
        <f t="shared" si="12"/>
        <v>0-50</v>
      </c>
      <c r="O117" t="str">
        <f t="shared" si="15"/>
        <v>Up to 10</v>
      </c>
      <c r="P117">
        <f t="shared" si="13"/>
        <v>1.1597255544172291</v>
      </c>
      <c r="Q117">
        <f t="shared" si="14"/>
        <v>2.7444558277078812E-4</v>
      </c>
    </row>
    <row r="118" spans="1:17" x14ac:dyDescent="0.3">
      <c r="A118" s="1" t="s">
        <v>249</v>
      </c>
      <c r="B118" t="s">
        <v>250</v>
      </c>
      <c r="C118">
        <v>1.0349999999999999</v>
      </c>
      <c r="D118">
        <v>429767674</v>
      </c>
      <c r="E118">
        <v>0</v>
      </c>
      <c r="F118">
        <v>7.92E-3</v>
      </c>
      <c r="G118">
        <v>415205583.586546</v>
      </c>
      <c r="H118">
        <v>0</v>
      </c>
      <c r="I118">
        <v>6.4771723179184532E-2</v>
      </c>
      <c r="J118" t="str">
        <f t="shared" si="8"/>
        <v>J</v>
      </c>
      <c r="K118" t="b">
        <f t="shared" si="9"/>
        <v>0</v>
      </c>
      <c r="L118" t="str">
        <f t="shared" si="10"/>
        <v>0.5-5</v>
      </c>
      <c r="M118">
        <f t="shared" si="11"/>
        <v>138401861.2171059</v>
      </c>
      <c r="N118" t="str">
        <f t="shared" si="12"/>
        <v>0-50</v>
      </c>
      <c r="O118" t="str">
        <f t="shared" si="15"/>
        <v>Up to 10</v>
      </c>
      <c r="P118">
        <f t="shared" si="13"/>
        <v>1.0349999999999999</v>
      </c>
      <c r="Q118">
        <f t="shared" si="14"/>
        <v>0</v>
      </c>
    </row>
    <row r="119" spans="1:17" x14ac:dyDescent="0.3">
      <c r="A119" s="1" t="s">
        <v>251</v>
      </c>
      <c r="B119" t="s">
        <v>252</v>
      </c>
      <c r="C119">
        <v>7.6660000000000001E-5</v>
      </c>
      <c r="D119">
        <v>424658922</v>
      </c>
      <c r="E119">
        <v>27081895</v>
      </c>
      <c r="F119">
        <v>-0.44874999999999998</v>
      </c>
      <c r="G119">
        <v>5541784362846.4395</v>
      </c>
      <c r="H119">
        <v>-0.47084749742235543</v>
      </c>
      <c r="I119">
        <v>-6.4015324491412908</v>
      </c>
      <c r="J119" t="str">
        <f t="shared" si="8"/>
        <v>T</v>
      </c>
      <c r="K119" t="b">
        <f t="shared" si="9"/>
        <v>0</v>
      </c>
      <c r="L119" t="str">
        <f t="shared" si="10"/>
        <v>0-0.05</v>
      </c>
      <c r="M119">
        <f t="shared" si="11"/>
        <v>1847261454279.8557</v>
      </c>
      <c r="N119" t="str">
        <f t="shared" si="12"/>
        <v>0-50</v>
      </c>
      <c r="O119" t="str">
        <f t="shared" si="15"/>
        <v>Up to 10</v>
      </c>
      <c r="P119">
        <f t="shared" si="13"/>
        <v>7.7022659263590763E-5</v>
      </c>
      <c r="Q119">
        <f t="shared" si="14"/>
        <v>-3.6265926359076151E-7</v>
      </c>
    </row>
    <row r="120" spans="1:17" x14ac:dyDescent="0.3">
      <c r="A120" s="1" t="s">
        <v>253</v>
      </c>
      <c r="B120" t="s">
        <v>254</v>
      </c>
      <c r="C120">
        <v>1.17</v>
      </c>
      <c r="D120">
        <v>423338746</v>
      </c>
      <c r="E120">
        <v>0</v>
      </c>
      <c r="F120">
        <v>0.35361999999999999</v>
      </c>
      <c r="G120">
        <v>362314056.11365998</v>
      </c>
      <c r="H120">
        <v>5.9546031291912063E-2</v>
      </c>
      <c r="I120">
        <v>-0.67442482501248802</v>
      </c>
      <c r="J120" t="str">
        <f t="shared" si="8"/>
        <v>S</v>
      </c>
      <c r="K120" t="b">
        <f t="shared" si="9"/>
        <v>0</v>
      </c>
      <c r="L120" t="str">
        <f t="shared" si="10"/>
        <v>0.5-5</v>
      </c>
      <c r="M120">
        <f t="shared" si="11"/>
        <v>120771351.83292706</v>
      </c>
      <c r="N120" t="str">
        <f t="shared" si="12"/>
        <v>0-50</v>
      </c>
      <c r="O120" t="str">
        <f t="shared" si="15"/>
        <v>Up to 10</v>
      </c>
      <c r="P120">
        <f t="shared" si="13"/>
        <v>1.1693037260373964</v>
      </c>
      <c r="Q120">
        <f t="shared" si="14"/>
        <v>6.9627396260352192E-4</v>
      </c>
    </row>
    <row r="121" spans="1:17" x14ac:dyDescent="0.3">
      <c r="A121" s="1" t="s">
        <v>255</v>
      </c>
      <c r="B121" t="s">
        <v>256</v>
      </c>
      <c r="C121">
        <v>6.2087999999999997E-2</v>
      </c>
      <c r="D121">
        <v>418018926</v>
      </c>
      <c r="E121">
        <v>29203894</v>
      </c>
      <c r="F121">
        <v>2.1103700000000001</v>
      </c>
      <c r="G121">
        <v>6733333333</v>
      </c>
      <c r="H121">
        <v>-0.56684600329461188</v>
      </c>
      <c r="I121">
        <v>-6.3570964510338115</v>
      </c>
      <c r="J121" t="str">
        <f t="shared" si="8"/>
        <v>S</v>
      </c>
      <c r="K121" t="b">
        <f t="shared" si="9"/>
        <v>0</v>
      </c>
      <c r="L121" t="str">
        <f t="shared" si="10"/>
        <v>0.05-0.5</v>
      </c>
      <c r="M121">
        <f t="shared" si="11"/>
        <v>2244444442.0253525</v>
      </c>
      <c r="N121" t="str">
        <f t="shared" si="12"/>
        <v>0-50</v>
      </c>
      <c r="O121" t="str">
        <f t="shared" si="15"/>
        <v>Up to 10</v>
      </c>
      <c r="P121">
        <f t="shared" si="13"/>
        <v>6.2441949696232318E-2</v>
      </c>
      <c r="Q121">
        <f t="shared" si="14"/>
        <v>-3.5394969623232103E-4</v>
      </c>
    </row>
    <row r="122" spans="1:17" x14ac:dyDescent="0.3">
      <c r="A122" s="1" t="s">
        <v>257</v>
      </c>
      <c r="B122" t="s">
        <v>258</v>
      </c>
      <c r="C122">
        <v>3.88</v>
      </c>
      <c r="D122">
        <v>404429250</v>
      </c>
      <c r="E122">
        <v>1889176</v>
      </c>
      <c r="F122">
        <v>0.31663000000000002</v>
      </c>
      <c r="G122">
        <v>104035514.216296</v>
      </c>
      <c r="H122">
        <v>4.6932999382679169E-2</v>
      </c>
      <c r="I122">
        <v>-3.5257451525254302</v>
      </c>
      <c r="J122" t="str">
        <f t="shared" si="8"/>
        <v>A</v>
      </c>
      <c r="K122" t="b">
        <f t="shared" si="9"/>
        <v>1</v>
      </c>
      <c r="L122" t="str">
        <f t="shared" si="10"/>
        <v>0.5-5</v>
      </c>
      <c r="M122">
        <f t="shared" si="11"/>
        <v>34678503.579161279</v>
      </c>
      <c r="N122" t="str">
        <f t="shared" si="12"/>
        <v>0-50</v>
      </c>
      <c r="O122" t="str">
        <f t="shared" si="15"/>
        <v>Up to 10</v>
      </c>
      <c r="P122">
        <f t="shared" si="13"/>
        <v>3.8781798538731227</v>
      </c>
      <c r="Q122">
        <f t="shared" si="14"/>
        <v>1.8201461268771979E-3</v>
      </c>
    </row>
    <row r="123" spans="1:17" x14ac:dyDescent="0.3">
      <c r="A123" s="1" t="s">
        <v>259</v>
      </c>
      <c r="B123" t="s">
        <v>260</v>
      </c>
      <c r="C123">
        <v>0.99956999999999996</v>
      </c>
      <c r="D123">
        <v>403596301</v>
      </c>
      <c r="E123">
        <v>311449</v>
      </c>
      <c r="F123">
        <v>1.243E-2</v>
      </c>
      <c r="G123">
        <v>403769806.46639901</v>
      </c>
      <c r="H123">
        <v>-2.2825705710728492E-2</v>
      </c>
      <c r="I123">
        <v>-2.1964573362665721E-2</v>
      </c>
      <c r="J123" t="str">
        <f t="shared" si="8"/>
        <v>U</v>
      </c>
      <c r="K123" t="b">
        <f t="shared" si="9"/>
        <v>1</v>
      </c>
      <c r="L123" t="str">
        <f t="shared" si="10"/>
        <v>0.5-5</v>
      </c>
      <c r="M123">
        <f t="shared" si="11"/>
        <v>134589935.47386959</v>
      </c>
      <c r="N123" t="str">
        <f t="shared" si="12"/>
        <v>0-50</v>
      </c>
      <c r="O123" t="str">
        <f t="shared" si="15"/>
        <v>Up to 10</v>
      </c>
      <c r="P123">
        <f t="shared" si="13"/>
        <v>0.99979821099734334</v>
      </c>
      <c r="Q123">
        <f t="shared" si="14"/>
        <v>-2.2821099734338102E-4</v>
      </c>
    </row>
    <row r="124" spans="1:17" x14ac:dyDescent="0.3">
      <c r="A124" s="1" t="s">
        <v>261</v>
      </c>
      <c r="B124" t="s">
        <v>262</v>
      </c>
      <c r="C124">
        <v>0.42183399999999999</v>
      </c>
      <c r="D124">
        <v>397874983</v>
      </c>
      <c r="E124">
        <v>17468330</v>
      </c>
      <c r="F124">
        <v>2.6947700000000001</v>
      </c>
      <c r="G124">
        <v>941492288.46712077</v>
      </c>
      <c r="H124">
        <v>-0.15854028913523016</v>
      </c>
      <c r="I124">
        <v>-8.5827582618479568</v>
      </c>
      <c r="J124" t="str">
        <f t="shared" si="8"/>
        <v>A</v>
      </c>
      <c r="K124" t="b">
        <f t="shared" si="9"/>
        <v>1</v>
      </c>
      <c r="L124" t="str">
        <f t="shared" si="10"/>
        <v>0.05-0.5</v>
      </c>
      <c r="M124">
        <f t="shared" si="11"/>
        <v>313830759.90860742</v>
      </c>
      <c r="N124" t="str">
        <f t="shared" si="12"/>
        <v>0-50</v>
      </c>
      <c r="O124" t="str">
        <f t="shared" si="15"/>
        <v>Up to 10</v>
      </c>
      <c r="P124">
        <f t="shared" si="13"/>
        <v>0.42250383880765308</v>
      </c>
      <c r="Q124">
        <f t="shared" si="14"/>
        <v>-6.6983880765308923E-4</v>
      </c>
    </row>
    <row r="125" spans="1:17" x14ac:dyDescent="0.3">
      <c r="A125" s="1" t="s">
        <v>263</v>
      </c>
      <c r="B125" t="s">
        <v>264</v>
      </c>
      <c r="C125">
        <v>2.0131980000000001E-2</v>
      </c>
      <c r="D125">
        <v>387067307</v>
      </c>
      <c r="E125">
        <v>56322029</v>
      </c>
      <c r="F125">
        <v>1.97557</v>
      </c>
      <c r="G125">
        <v>19225457928.14254</v>
      </c>
      <c r="H125">
        <v>9.6325534298319124E-2</v>
      </c>
      <c r="I125">
        <v>0.52114467459328628</v>
      </c>
      <c r="J125" t="str">
        <f t="shared" si="8"/>
        <v>S</v>
      </c>
      <c r="K125" t="b">
        <f t="shared" si="9"/>
        <v>0</v>
      </c>
      <c r="L125" t="str">
        <f t="shared" si="10"/>
        <v>0-0.05</v>
      </c>
      <c r="M125">
        <f t="shared" si="11"/>
        <v>6408485976.2533369</v>
      </c>
      <c r="N125" t="str">
        <f t="shared" si="12"/>
        <v>0-50</v>
      </c>
      <c r="O125" t="str">
        <f t="shared" si="15"/>
        <v>Up to 10</v>
      </c>
      <c r="P125">
        <f t="shared" si="13"/>
        <v>2.0112606424400378E-2</v>
      </c>
      <c r="Q125">
        <f t="shared" si="14"/>
        <v>1.9373575599623133E-5</v>
      </c>
    </row>
    <row r="126" spans="1:17" x14ac:dyDescent="0.3">
      <c r="A126" s="1" t="s">
        <v>265</v>
      </c>
      <c r="B126" t="s">
        <v>266</v>
      </c>
      <c r="C126">
        <v>0.11056000000000001</v>
      </c>
      <c r="D126">
        <v>383625865</v>
      </c>
      <c r="E126">
        <v>29664923</v>
      </c>
      <c r="F126">
        <v>18.121580000000002</v>
      </c>
      <c r="G126">
        <v>3469835660.1999998</v>
      </c>
      <c r="H126">
        <v>-1.1516376048372927</v>
      </c>
      <c r="I126">
        <v>5.5910979670554442</v>
      </c>
      <c r="J126" t="str">
        <f t="shared" si="8"/>
        <v>D</v>
      </c>
      <c r="K126" t="b">
        <f t="shared" si="9"/>
        <v>1</v>
      </c>
      <c r="L126" t="str">
        <f t="shared" si="10"/>
        <v>0.05-0.5</v>
      </c>
      <c r="M126">
        <f t="shared" si="11"/>
        <v>1156611888.2131534</v>
      </c>
      <c r="N126" t="str">
        <f t="shared" si="12"/>
        <v>0-50</v>
      </c>
      <c r="O126" t="str">
        <f t="shared" si="15"/>
        <v>Up to 10</v>
      </c>
      <c r="P126">
        <f t="shared" si="13"/>
        <v>0.11184808460257348</v>
      </c>
      <c r="Q126">
        <f t="shared" si="14"/>
        <v>-1.2880846025734721E-3</v>
      </c>
    </row>
    <row r="127" spans="1:17" x14ac:dyDescent="0.3">
      <c r="A127" s="1" t="s">
        <v>267</v>
      </c>
      <c r="B127" t="s">
        <v>268</v>
      </c>
      <c r="C127">
        <v>0.34807300000000002</v>
      </c>
      <c r="D127">
        <v>377793307</v>
      </c>
      <c r="E127">
        <v>11507726</v>
      </c>
      <c r="F127">
        <v>3.20601</v>
      </c>
      <c r="G127">
        <v>1085378408.734417</v>
      </c>
      <c r="H127">
        <v>-5.5739572009547003E-2</v>
      </c>
      <c r="I127">
        <v>-7.5705610687768541</v>
      </c>
      <c r="J127" t="str">
        <f t="shared" si="8"/>
        <v>T</v>
      </c>
      <c r="K127" t="b">
        <f t="shared" si="9"/>
        <v>0</v>
      </c>
      <c r="L127" t="str">
        <f t="shared" si="10"/>
        <v>0.05-0.5</v>
      </c>
      <c r="M127">
        <f t="shared" si="11"/>
        <v>361792800.36937207</v>
      </c>
      <c r="N127" t="str">
        <f t="shared" si="12"/>
        <v>0-50</v>
      </c>
      <c r="O127" t="str">
        <f t="shared" si="15"/>
        <v>Up to 10</v>
      </c>
      <c r="P127">
        <f t="shared" si="13"/>
        <v>0.34826712260358922</v>
      </c>
      <c r="Q127">
        <f t="shared" si="14"/>
        <v>-1.9412260358919742E-4</v>
      </c>
    </row>
    <row r="128" spans="1:17" x14ac:dyDescent="0.3">
      <c r="A128" s="1" t="s">
        <v>269</v>
      </c>
      <c r="B128" t="s">
        <v>270</v>
      </c>
      <c r="C128">
        <v>0.99834400000000001</v>
      </c>
      <c r="D128">
        <v>376487205</v>
      </c>
      <c r="E128">
        <v>25283227</v>
      </c>
      <c r="F128">
        <v>6.3159999999999994E-2</v>
      </c>
      <c r="G128">
        <v>377148541.66021597</v>
      </c>
      <c r="H128">
        <v>3.1897769888207458E-2</v>
      </c>
      <c r="I128">
        <v>4.5456217658799786E-2</v>
      </c>
      <c r="J128" t="str">
        <f t="shared" si="8"/>
        <v>F</v>
      </c>
      <c r="K128" t="b">
        <f t="shared" si="9"/>
        <v>0</v>
      </c>
      <c r="L128" t="str">
        <f t="shared" si="10"/>
        <v>0.5-5</v>
      </c>
      <c r="M128">
        <f t="shared" si="11"/>
        <v>125716180.57919</v>
      </c>
      <c r="N128" t="str">
        <f t="shared" si="12"/>
        <v>0-50</v>
      </c>
      <c r="O128" t="str">
        <f t="shared" si="15"/>
        <v>Up to 10</v>
      </c>
      <c r="P128">
        <f t="shared" si="13"/>
        <v>0.99802565207407612</v>
      </c>
      <c r="Q128">
        <f t="shared" si="14"/>
        <v>3.1834792592388972E-4</v>
      </c>
    </row>
    <row r="129" spans="1:17" x14ac:dyDescent="0.3">
      <c r="A129" s="1" t="s">
        <v>271</v>
      </c>
      <c r="B129" t="s">
        <v>272</v>
      </c>
      <c r="C129">
        <v>0.51069799999999999</v>
      </c>
      <c r="D129">
        <v>371173567</v>
      </c>
      <c r="E129">
        <v>8110258</v>
      </c>
      <c r="F129">
        <v>-5.1326999999999998</v>
      </c>
      <c r="G129">
        <v>726788283.04661047</v>
      </c>
      <c r="H129">
        <v>-0.83747680478302855</v>
      </c>
      <c r="I129">
        <v>-8.5946928314079685</v>
      </c>
      <c r="J129" t="str">
        <f t="shared" si="8"/>
        <v>S</v>
      </c>
      <c r="K129" t="b">
        <f t="shared" si="9"/>
        <v>0</v>
      </c>
      <c r="L129" t="str">
        <f t="shared" si="10"/>
        <v>0.5-5</v>
      </c>
      <c r="M129">
        <f t="shared" si="11"/>
        <v>242262757.87148026</v>
      </c>
      <c r="N129" t="str">
        <f t="shared" si="12"/>
        <v>0-50</v>
      </c>
      <c r="O129" t="str">
        <f t="shared" si="15"/>
        <v>Up to 10</v>
      </c>
      <c r="P129">
        <f t="shared" si="13"/>
        <v>0.51501109849192817</v>
      </c>
      <c r="Q129">
        <f t="shared" si="14"/>
        <v>-4.3130984919281801E-3</v>
      </c>
    </row>
    <row r="130" spans="1:17" x14ac:dyDescent="0.3">
      <c r="A130" s="1" t="s">
        <v>273</v>
      </c>
      <c r="B130" t="s">
        <v>274</v>
      </c>
      <c r="C130">
        <v>0.402478</v>
      </c>
      <c r="D130">
        <v>369700951</v>
      </c>
      <c r="E130">
        <v>36621677</v>
      </c>
      <c r="F130">
        <v>0.38993</v>
      </c>
      <c r="G130">
        <v>919932996.62250996</v>
      </c>
      <c r="H130">
        <v>-1.0742652871668881</v>
      </c>
      <c r="I130">
        <v>-10.773765529098862</v>
      </c>
      <c r="J130" t="str">
        <f t="shared" ref="J130:J193" si="16">LEFT(B130,1)</f>
        <v>C</v>
      </c>
      <c r="K130" t="b">
        <f t="shared" ref="K130:K193" si="17">OR(J130="A",J130="E",J130="I",J130="O",J130="U",J130="B",J130="C",J130="D")</f>
        <v>1</v>
      </c>
      <c r="L130" t="str">
        <f t="shared" ref="L130:L193" si="18">IF(C130&lt;=0.05,"0-0.05",IF(C130&lt;=0.5,"0.05-0.5",IF(C130&lt;=5,"0.5-5",IF(C130&lt;=50,"5-50","&gt;50"))))</f>
        <v>0.05-0.5</v>
      </c>
      <c r="M130">
        <f t="shared" ref="M130:M193" si="19">ABS(AVERAGE(G130,H130,I130))</f>
        <v>306644328.2581597</v>
      </c>
      <c r="N130" t="str">
        <f t="shared" ref="N130:N193" si="20">IF(C130&lt;=50,"0-50","&gt;50")</f>
        <v>0-50</v>
      </c>
      <c r="O130" t="str">
        <f t="shared" si="15"/>
        <v>Up to 10</v>
      </c>
      <c r="P130">
        <f t="shared" ref="P130:P193" si="21">C130/(1+(H130/100))</f>
        <v>0.40684863364253454</v>
      </c>
      <c r="Q130">
        <f t="shared" ref="Q130:Q193" si="22">C130-P130</f>
        <v>-4.3706336425345382E-3</v>
      </c>
    </row>
    <row r="131" spans="1:17" x14ac:dyDescent="0.3">
      <c r="A131" s="1" t="s">
        <v>275</v>
      </c>
      <c r="B131" t="s">
        <v>276</v>
      </c>
      <c r="C131">
        <v>6.0499999999999997E-6</v>
      </c>
      <c r="D131">
        <v>363183377</v>
      </c>
      <c r="E131">
        <v>98025282</v>
      </c>
      <c r="F131">
        <v>44.260750000000002</v>
      </c>
      <c r="G131">
        <v>60000000000000</v>
      </c>
      <c r="H131">
        <v>-4.7070535088897936</v>
      </c>
      <c r="J131" t="str">
        <f t="shared" si="16"/>
        <v>N</v>
      </c>
      <c r="K131" t="b">
        <f t="shared" si="17"/>
        <v>0</v>
      </c>
      <c r="L131" t="str">
        <f t="shared" si="18"/>
        <v>0-0.05</v>
      </c>
      <c r="M131">
        <f t="shared" si="19"/>
        <v>29999999999997.645</v>
      </c>
      <c r="N131" t="str">
        <f t="shared" si="20"/>
        <v>0-50</v>
      </c>
      <c r="O131" t="str">
        <f t="shared" si="15"/>
        <v>Up to 10</v>
      </c>
      <c r="P131">
        <f t="shared" si="21"/>
        <v>6.3488434588014329E-6</v>
      </c>
      <c r="Q131">
        <f t="shared" si="22"/>
        <v>-2.9884345880143324E-7</v>
      </c>
    </row>
    <row r="132" spans="1:17" x14ac:dyDescent="0.3">
      <c r="A132" s="1" t="s">
        <v>277</v>
      </c>
      <c r="B132" t="s">
        <v>278</v>
      </c>
      <c r="C132">
        <v>0.38855800000000001</v>
      </c>
      <c r="D132">
        <v>362010516</v>
      </c>
      <c r="E132">
        <v>6685043</v>
      </c>
      <c r="F132">
        <v>4.0667900000000001</v>
      </c>
      <c r="G132">
        <v>930993080.88700116</v>
      </c>
      <c r="H132">
        <v>-2.3028339129458826</v>
      </c>
      <c r="I132">
        <v>-6.3669849144861486</v>
      </c>
      <c r="J132" t="str">
        <f t="shared" si="16"/>
        <v>S</v>
      </c>
      <c r="K132" t="b">
        <f t="shared" si="17"/>
        <v>0</v>
      </c>
      <c r="L132" t="str">
        <f t="shared" si="18"/>
        <v>0.05-0.5</v>
      </c>
      <c r="M132">
        <f t="shared" si="19"/>
        <v>310331024.07239407</v>
      </c>
      <c r="N132" t="str">
        <f t="shared" si="20"/>
        <v>0-50</v>
      </c>
      <c r="O132" t="str">
        <f t="shared" ref="O132:O195" si="23">IF(C131&lt;10,"Up to 10","&gt;=10")</f>
        <v>Up to 10</v>
      </c>
      <c r="P132">
        <f t="shared" si="21"/>
        <v>0.39771675634252396</v>
      </c>
      <c r="Q132">
        <f t="shared" si="22"/>
        <v>-9.1587563425239438E-3</v>
      </c>
    </row>
    <row r="133" spans="1:17" x14ac:dyDescent="0.3">
      <c r="A133" s="1" t="s">
        <v>279</v>
      </c>
      <c r="B133" t="s">
        <v>280</v>
      </c>
      <c r="C133">
        <v>0.23450799999999999</v>
      </c>
      <c r="D133">
        <v>355648287</v>
      </c>
      <c r="E133">
        <v>30509859</v>
      </c>
      <c r="F133">
        <v>-1.0245599999999999</v>
      </c>
      <c r="G133">
        <v>1516426423</v>
      </c>
      <c r="H133">
        <v>-0.81519762586690392</v>
      </c>
      <c r="I133">
        <v>-11.845152085276656</v>
      </c>
      <c r="J133" t="str">
        <f t="shared" si="16"/>
        <v>C</v>
      </c>
      <c r="K133" t="b">
        <f t="shared" si="17"/>
        <v>1</v>
      </c>
      <c r="L133" t="str">
        <f t="shared" si="18"/>
        <v>0.05-0.5</v>
      </c>
      <c r="M133">
        <f t="shared" si="19"/>
        <v>505475470.1132167</v>
      </c>
      <c r="N133" t="str">
        <f t="shared" si="20"/>
        <v>0-50</v>
      </c>
      <c r="O133" t="str">
        <f t="shared" si="23"/>
        <v>Up to 10</v>
      </c>
      <c r="P133">
        <f t="shared" si="21"/>
        <v>0.23643541589710171</v>
      </c>
      <c r="Q133">
        <f t="shared" si="22"/>
        <v>-1.9274158971017141E-3</v>
      </c>
    </row>
    <row r="134" spans="1:17" x14ac:dyDescent="0.3">
      <c r="A134" s="1" t="s">
        <v>281</v>
      </c>
      <c r="B134" t="s">
        <v>282</v>
      </c>
      <c r="C134">
        <v>1.42</v>
      </c>
      <c r="D134">
        <v>354628761</v>
      </c>
      <c r="E134">
        <v>92731094</v>
      </c>
      <c r="F134">
        <v>18.801600000000001</v>
      </c>
      <c r="G134">
        <v>250000000</v>
      </c>
      <c r="H134">
        <v>3.0246675251777844</v>
      </c>
      <c r="I134">
        <v>59.317000667836965</v>
      </c>
      <c r="J134" t="str">
        <f t="shared" si="16"/>
        <v>L</v>
      </c>
      <c r="K134" t="b">
        <f t="shared" si="17"/>
        <v>0</v>
      </c>
      <c r="L134" t="str">
        <f t="shared" si="18"/>
        <v>0.5-5</v>
      </c>
      <c r="M134">
        <f t="shared" si="19"/>
        <v>83333354.113889396</v>
      </c>
      <c r="N134" t="str">
        <f t="shared" si="20"/>
        <v>0-50</v>
      </c>
      <c r="O134" t="str">
        <f t="shared" si="23"/>
        <v>Up to 10</v>
      </c>
      <c r="P134">
        <f t="shared" si="21"/>
        <v>1.3783106843348676</v>
      </c>
      <c r="Q134">
        <f t="shared" si="22"/>
        <v>4.1689315665132343E-2</v>
      </c>
    </row>
    <row r="135" spans="1:17" x14ac:dyDescent="0.3">
      <c r="A135" s="1" t="s">
        <v>283</v>
      </c>
      <c r="B135" t="s">
        <v>284</v>
      </c>
      <c r="C135">
        <v>1.38</v>
      </c>
      <c r="D135">
        <v>348203049</v>
      </c>
      <c r="E135">
        <v>21126160</v>
      </c>
      <c r="F135">
        <v>2.7849499999999998</v>
      </c>
      <c r="G135">
        <v>252331652.65365621</v>
      </c>
      <c r="H135">
        <v>-0.28837439042785062</v>
      </c>
      <c r="I135">
        <v>-1.6269764424295274</v>
      </c>
      <c r="J135" t="str">
        <f t="shared" si="16"/>
        <v>L</v>
      </c>
      <c r="K135" t="b">
        <f t="shared" si="17"/>
        <v>0</v>
      </c>
      <c r="L135" t="str">
        <f t="shared" si="18"/>
        <v>0.5-5</v>
      </c>
      <c r="M135">
        <f t="shared" si="19"/>
        <v>84110550.246101797</v>
      </c>
      <c r="N135" t="str">
        <f t="shared" si="20"/>
        <v>0-50</v>
      </c>
      <c r="O135" t="str">
        <f t="shared" si="23"/>
        <v>Up to 10</v>
      </c>
      <c r="P135">
        <f t="shared" si="21"/>
        <v>1.3839910758284961</v>
      </c>
      <c r="Q135">
        <f t="shared" si="22"/>
        <v>-3.9910758284962267E-3</v>
      </c>
    </row>
    <row r="136" spans="1:17" x14ac:dyDescent="0.3">
      <c r="A136" s="1" t="s">
        <v>285</v>
      </c>
      <c r="B136" t="s">
        <v>286</v>
      </c>
      <c r="C136">
        <v>144.13</v>
      </c>
      <c r="D136">
        <v>343922014</v>
      </c>
      <c r="E136">
        <v>68793</v>
      </c>
      <c r="F136">
        <v>0.59263999999999994</v>
      </c>
      <c r="G136">
        <v>2386227.8341999999</v>
      </c>
      <c r="H136">
        <v>-2.8582104671558547E-3</v>
      </c>
      <c r="I136">
        <v>-5.1785984029551404</v>
      </c>
      <c r="J136" t="str">
        <f t="shared" si="16"/>
        <v>K</v>
      </c>
      <c r="K136" t="b">
        <f t="shared" si="17"/>
        <v>0</v>
      </c>
      <c r="L136" t="str">
        <f t="shared" si="18"/>
        <v>&gt;50</v>
      </c>
      <c r="M136">
        <f t="shared" si="19"/>
        <v>795407.55091446219</v>
      </c>
      <c r="N136" t="str">
        <f t="shared" si="20"/>
        <v>&gt;50</v>
      </c>
      <c r="O136" t="str">
        <f t="shared" si="23"/>
        <v>Up to 10</v>
      </c>
      <c r="P136">
        <f t="shared" si="21"/>
        <v>144.13411965649476</v>
      </c>
      <c r="Q136">
        <f t="shared" si="22"/>
        <v>-4.1196564947654224E-3</v>
      </c>
    </row>
    <row r="137" spans="1:17" x14ac:dyDescent="0.3">
      <c r="A137" s="1" t="s">
        <v>287</v>
      </c>
      <c r="B137" t="s">
        <v>288</v>
      </c>
      <c r="C137">
        <v>0.34193800000000002</v>
      </c>
      <c r="D137">
        <v>341261678</v>
      </c>
      <c r="E137">
        <v>45081599</v>
      </c>
      <c r="F137">
        <v>6.5104600000000001</v>
      </c>
      <c r="G137">
        <v>998384107.78570163</v>
      </c>
      <c r="H137">
        <v>-0.58887890381040819</v>
      </c>
      <c r="I137">
        <v>-8.7695096850001288</v>
      </c>
      <c r="J137" t="str">
        <f t="shared" si="16"/>
        <v>S</v>
      </c>
      <c r="K137" t="b">
        <f t="shared" si="17"/>
        <v>0</v>
      </c>
      <c r="L137" t="str">
        <f t="shared" si="18"/>
        <v>0.05-0.5</v>
      </c>
      <c r="M137">
        <f t="shared" si="19"/>
        <v>332794699.47577101</v>
      </c>
      <c r="N137" t="str">
        <f t="shared" si="20"/>
        <v>0-50</v>
      </c>
      <c r="O137" t="str">
        <f t="shared" si="23"/>
        <v>&gt;=10</v>
      </c>
      <c r="P137">
        <f t="shared" si="21"/>
        <v>0.34396352865706331</v>
      </c>
      <c r="Q137">
        <f t="shared" si="22"/>
        <v>-2.0255286570632913E-3</v>
      </c>
    </row>
    <row r="138" spans="1:17" x14ac:dyDescent="0.3">
      <c r="A138" s="1" t="s">
        <v>289</v>
      </c>
      <c r="B138" t="s">
        <v>290</v>
      </c>
      <c r="C138">
        <v>0.38308399999999998</v>
      </c>
      <c r="D138">
        <v>337111194</v>
      </c>
      <c r="E138">
        <v>21651197</v>
      </c>
      <c r="F138">
        <v>1.26953</v>
      </c>
      <c r="G138">
        <v>880665741</v>
      </c>
      <c r="H138">
        <v>-0.57606204052743182</v>
      </c>
      <c r="I138">
        <v>-14.212334579290792</v>
      </c>
      <c r="J138" t="str">
        <f t="shared" si="16"/>
        <v>E</v>
      </c>
      <c r="K138" t="b">
        <f t="shared" si="17"/>
        <v>1</v>
      </c>
      <c r="L138" t="str">
        <f t="shared" si="18"/>
        <v>0.05-0.5</v>
      </c>
      <c r="M138">
        <f t="shared" si="19"/>
        <v>293555242.07053441</v>
      </c>
      <c r="N138" t="str">
        <f t="shared" si="20"/>
        <v>0-50</v>
      </c>
      <c r="O138" t="str">
        <f t="shared" si="23"/>
        <v>Up to 10</v>
      </c>
      <c r="P138">
        <f t="shared" si="21"/>
        <v>0.38530358770958523</v>
      </c>
      <c r="Q138">
        <f t="shared" si="22"/>
        <v>-2.2195877095852468E-3</v>
      </c>
    </row>
    <row r="139" spans="1:17" x14ac:dyDescent="0.3">
      <c r="A139" s="1" t="s">
        <v>291</v>
      </c>
      <c r="B139" t="s">
        <v>292</v>
      </c>
      <c r="C139">
        <v>4.3899999999999997</v>
      </c>
      <c r="D139">
        <v>334985849</v>
      </c>
      <c r="E139">
        <v>48256316</v>
      </c>
      <c r="F139">
        <v>6.68072</v>
      </c>
      <c r="G139">
        <v>76546099.142000005</v>
      </c>
      <c r="H139">
        <v>-2.8118704607825489E-2</v>
      </c>
      <c r="I139">
        <v>-19.852966232672596</v>
      </c>
      <c r="J139" t="str">
        <f t="shared" si="16"/>
        <v>L</v>
      </c>
      <c r="K139" t="b">
        <f t="shared" si="17"/>
        <v>0</v>
      </c>
      <c r="L139" t="str">
        <f t="shared" si="18"/>
        <v>0.5-5</v>
      </c>
      <c r="M139">
        <f t="shared" si="19"/>
        <v>25515359.753638357</v>
      </c>
      <c r="N139" t="str">
        <f t="shared" si="20"/>
        <v>0-50</v>
      </c>
      <c r="O139" t="str">
        <f t="shared" si="23"/>
        <v>Up to 10</v>
      </c>
      <c r="P139">
        <f t="shared" si="21"/>
        <v>4.3912347583303308</v>
      </c>
      <c r="Q139">
        <f t="shared" si="22"/>
        <v>-1.2347583303311538E-3</v>
      </c>
    </row>
    <row r="140" spans="1:17" x14ac:dyDescent="0.3">
      <c r="A140" s="1" t="s">
        <v>293</v>
      </c>
      <c r="B140" t="s">
        <v>294</v>
      </c>
      <c r="C140">
        <v>0.99989499999999998</v>
      </c>
      <c r="D140">
        <v>333547838</v>
      </c>
      <c r="E140">
        <v>7257522</v>
      </c>
      <c r="F140">
        <v>3.98E-3</v>
      </c>
      <c r="G140">
        <v>333556964.94</v>
      </c>
      <c r="H140">
        <v>1.4221386783271795E-2</v>
      </c>
      <c r="I140">
        <v>1.7999601673864142E-2</v>
      </c>
      <c r="J140" t="str">
        <f t="shared" si="16"/>
        <v>U</v>
      </c>
      <c r="K140" t="b">
        <f t="shared" si="17"/>
        <v>1</v>
      </c>
      <c r="L140" t="str">
        <f t="shared" si="18"/>
        <v>0.5-5</v>
      </c>
      <c r="M140">
        <f t="shared" si="19"/>
        <v>111185654.99074031</v>
      </c>
      <c r="N140" t="str">
        <f t="shared" si="20"/>
        <v>0-50</v>
      </c>
      <c r="O140" t="str">
        <f t="shared" si="23"/>
        <v>Up to 10</v>
      </c>
      <c r="P140">
        <f t="shared" si="21"/>
        <v>0.99975282128440857</v>
      </c>
      <c r="Q140">
        <f t="shared" si="22"/>
        <v>1.4217871559141226E-4</v>
      </c>
    </row>
    <row r="141" spans="1:17" x14ac:dyDescent="0.3">
      <c r="A141" s="1" t="s">
        <v>295</v>
      </c>
      <c r="B141" t="s">
        <v>296</v>
      </c>
      <c r="C141">
        <v>4.1979330000000002E-2</v>
      </c>
      <c r="D141">
        <v>330016214</v>
      </c>
      <c r="E141">
        <v>19421336</v>
      </c>
      <c r="F141">
        <v>3.4300099999999998</v>
      </c>
      <c r="G141">
        <v>7874982037.9407101</v>
      </c>
      <c r="H141">
        <v>-0.21228335426243777</v>
      </c>
      <c r="I141">
        <v>-16.762223293820089</v>
      </c>
      <c r="J141" t="str">
        <f t="shared" si="16"/>
        <v>P</v>
      </c>
      <c r="K141" t="b">
        <f t="shared" si="17"/>
        <v>0</v>
      </c>
      <c r="L141" t="str">
        <f t="shared" si="18"/>
        <v>0-0.05</v>
      </c>
      <c r="M141">
        <f t="shared" si="19"/>
        <v>2624994006.9887347</v>
      </c>
      <c r="N141" t="str">
        <f t="shared" si="20"/>
        <v>0-50</v>
      </c>
      <c r="O141" t="str">
        <f t="shared" si="23"/>
        <v>Up to 10</v>
      </c>
      <c r="P141">
        <f t="shared" si="21"/>
        <v>4.2068634708852366E-2</v>
      </c>
      <c r="Q141">
        <f t="shared" si="22"/>
        <v>-8.9304708852364079E-5</v>
      </c>
    </row>
    <row r="142" spans="1:17" x14ac:dyDescent="0.3">
      <c r="A142" s="1" t="s">
        <v>297</v>
      </c>
      <c r="B142" t="s">
        <v>298</v>
      </c>
      <c r="C142">
        <v>3.9454759999999998E-2</v>
      </c>
      <c r="D142">
        <v>323623916</v>
      </c>
      <c r="E142">
        <v>5586506</v>
      </c>
      <c r="F142">
        <v>-0.53420000000000001</v>
      </c>
      <c r="G142">
        <v>8199996134.3176603</v>
      </c>
      <c r="H142">
        <v>-2.2418454740153838E-2</v>
      </c>
      <c r="I142">
        <v>50.638513123721992</v>
      </c>
      <c r="J142" t="str">
        <f t="shared" si="16"/>
        <v>T</v>
      </c>
      <c r="K142" t="b">
        <f t="shared" si="17"/>
        <v>0</v>
      </c>
      <c r="L142" t="str">
        <f t="shared" si="18"/>
        <v>0-0.05</v>
      </c>
      <c r="M142">
        <f t="shared" si="19"/>
        <v>2733332061.6445851</v>
      </c>
      <c r="N142" t="str">
        <f t="shared" si="20"/>
        <v>0-50</v>
      </c>
      <c r="O142" t="str">
        <f t="shared" si="23"/>
        <v>Up to 10</v>
      </c>
      <c r="P142">
        <f t="shared" si="21"/>
        <v>3.9463607130903473E-2</v>
      </c>
      <c r="Q142">
        <f t="shared" si="22"/>
        <v>-8.8471309034748868E-6</v>
      </c>
    </row>
    <row r="143" spans="1:17" x14ac:dyDescent="0.3">
      <c r="A143" s="1" t="s">
        <v>299</v>
      </c>
      <c r="B143" t="s">
        <v>300</v>
      </c>
      <c r="C143">
        <v>2.7296379999999999E-2</v>
      </c>
      <c r="D143">
        <v>322783305</v>
      </c>
      <c r="E143">
        <v>48263165</v>
      </c>
      <c r="F143">
        <v>3.7958699999999999</v>
      </c>
      <c r="G143">
        <v>11825165000</v>
      </c>
      <c r="H143">
        <v>-1.1465244661153251</v>
      </c>
      <c r="I143">
        <v>-8.6853530736421334</v>
      </c>
      <c r="J143" t="str">
        <f t="shared" si="16"/>
        <v>M</v>
      </c>
      <c r="K143" t="b">
        <f t="shared" si="17"/>
        <v>0</v>
      </c>
      <c r="L143" t="str">
        <f t="shared" si="18"/>
        <v>0-0.05</v>
      </c>
      <c r="M143">
        <f t="shared" si="19"/>
        <v>3941721663.3893743</v>
      </c>
      <c r="N143" t="str">
        <f t="shared" si="20"/>
        <v>0-50</v>
      </c>
      <c r="O143" t="str">
        <f t="shared" si="23"/>
        <v>Up to 10</v>
      </c>
      <c r="P143">
        <f t="shared" si="21"/>
        <v>2.7612969450571755E-2</v>
      </c>
      <c r="Q143">
        <f t="shared" si="22"/>
        <v>-3.1658945057175605E-4</v>
      </c>
    </row>
    <row r="144" spans="1:17" x14ac:dyDescent="0.3">
      <c r="A144" s="1" t="s">
        <v>301</v>
      </c>
      <c r="B144" t="s">
        <v>302</v>
      </c>
      <c r="C144">
        <v>3.2307699999999998E-7</v>
      </c>
      <c r="D144">
        <v>319033223</v>
      </c>
      <c r="E144">
        <v>5240317</v>
      </c>
      <c r="F144">
        <v>0.52371000000000001</v>
      </c>
      <c r="G144">
        <v>987037885840674.75</v>
      </c>
      <c r="H144">
        <v>-0.14271893347297124</v>
      </c>
      <c r="I144">
        <v>-1.0899312208431138</v>
      </c>
      <c r="J144" t="str">
        <f t="shared" si="16"/>
        <v>B</v>
      </c>
      <c r="K144" t="b">
        <f t="shared" si="17"/>
        <v>1</v>
      </c>
      <c r="L144" t="str">
        <f t="shared" si="18"/>
        <v>0-0.05</v>
      </c>
      <c r="M144">
        <f t="shared" si="19"/>
        <v>329012628613557.81</v>
      </c>
      <c r="N144" t="str">
        <f t="shared" si="20"/>
        <v>0-50</v>
      </c>
      <c r="O144" t="str">
        <f t="shared" si="23"/>
        <v>Up to 10</v>
      </c>
      <c r="P144">
        <f t="shared" si="21"/>
        <v>3.2353875105487727E-7</v>
      </c>
      <c r="Q144">
        <f t="shared" si="22"/>
        <v>-4.6175105487729709E-10</v>
      </c>
    </row>
    <row r="145" spans="1:17" x14ac:dyDescent="0.3">
      <c r="A145" s="1" t="s">
        <v>303</v>
      </c>
      <c r="B145" t="s">
        <v>304</v>
      </c>
      <c r="C145">
        <v>1.84</v>
      </c>
      <c r="D145">
        <v>314028569</v>
      </c>
      <c r="E145">
        <v>54047516</v>
      </c>
      <c r="F145">
        <v>4.6445100000000004</v>
      </c>
      <c r="G145">
        <v>170452559.06856331</v>
      </c>
      <c r="H145">
        <v>-1.0454899598452905</v>
      </c>
      <c r="I145">
        <v>-7.1445817932159583</v>
      </c>
      <c r="J145" t="str">
        <f t="shared" si="16"/>
        <v>P</v>
      </c>
      <c r="K145" t="b">
        <f t="shared" si="17"/>
        <v>0</v>
      </c>
      <c r="L145" t="str">
        <f t="shared" si="18"/>
        <v>0.5-5</v>
      </c>
      <c r="M145">
        <f t="shared" si="19"/>
        <v>56817516.959497184</v>
      </c>
      <c r="N145" t="str">
        <f t="shared" si="20"/>
        <v>0-50</v>
      </c>
      <c r="O145" t="str">
        <f t="shared" si="23"/>
        <v>Up to 10</v>
      </c>
      <c r="P145">
        <f t="shared" si="21"/>
        <v>1.8594402612405916</v>
      </c>
      <c r="Q145">
        <f t="shared" si="22"/>
        <v>-1.9440261240591505E-2</v>
      </c>
    </row>
    <row r="146" spans="1:17" x14ac:dyDescent="0.3">
      <c r="A146" s="1" t="s">
        <v>305</v>
      </c>
      <c r="B146" t="s">
        <v>306</v>
      </c>
      <c r="C146">
        <v>118.67</v>
      </c>
      <c r="D146">
        <v>313442659</v>
      </c>
      <c r="E146">
        <v>2890738</v>
      </c>
      <c r="F146">
        <v>0.18432999999999999</v>
      </c>
      <c r="G146">
        <v>2639589</v>
      </c>
      <c r="H146">
        <v>-0.34598260317002993</v>
      </c>
      <c r="I146">
        <v>-6.5532931970090704</v>
      </c>
      <c r="J146" t="str">
        <f t="shared" si="16"/>
        <v>G</v>
      </c>
      <c r="K146" t="b">
        <f t="shared" si="17"/>
        <v>0</v>
      </c>
      <c r="L146" t="str">
        <f t="shared" si="18"/>
        <v>&gt;50</v>
      </c>
      <c r="M146">
        <f t="shared" si="19"/>
        <v>879860.70024139993</v>
      </c>
      <c r="N146" t="str">
        <f t="shared" si="20"/>
        <v>&gt;50</v>
      </c>
      <c r="O146" t="str">
        <f t="shared" si="23"/>
        <v>Up to 10</v>
      </c>
      <c r="P146">
        <f t="shared" si="21"/>
        <v>119.08200301393462</v>
      </c>
      <c r="Q146">
        <f t="shared" si="22"/>
        <v>-0.41200301393462269</v>
      </c>
    </row>
    <row r="147" spans="1:17" x14ac:dyDescent="0.3">
      <c r="A147" s="1" t="s">
        <v>307</v>
      </c>
      <c r="B147" t="s">
        <v>308</v>
      </c>
      <c r="C147">
        <v>5.2684000000000002E-2</v>
      </c>
      <c r="D147">
        <v>308436310</v>
      </c>
      <c r="E147">
        <v>16484410</v>
      </c>
      <c r="F147">
        <v>2.7868599999999999</v>
      </c>
      <c r="G147">
        <v>5856641747.1061983</v>
      </c>
      <c r="H147">
        <v>1.1304244275461957</v>
      </c>
      <c r="I147">
        <v>10.006767595255427</v>
      </c>
      <c r="J147" t="str">
        <f t="shared" si="16"/>
        <v>K</v>
      </c>
      <c r="K147" t="b">
        <f t="shared" si="17"/>
        <v>0</v>
      </c>
      <c r="L147" t="str">
        <f t="shared" si="18"/>
        <v>0.05-0.5</v>
      </c>
      <c r="M147">
        <f t="shared" si="19"/>
        <v>1952213919.4144633</v>
      </c>
      <c r="N147" t="str">
        <f t="shared" si="20"/>
        <v>0-50</v>
      </c>
      <c r="O147" t="str">
        <f t="shared" si="23"/>
        <v>&gt;=10</v>
      </c>
      <c r="P147">
        <f t="shared" si="21"/>
        <v>5.209510421638236E-2</v>
      </c>
      <c r="Q147">
        <f t="shared" si="22"/>
        <v>5.88895783617642E-4</v>
      </c>
    </row>
    <row r="148" spans="1:17" x14ac:dyDescent="0.3">
      <c r="A148" s="1" t="s">
        <v>309</v>
      </c>
      <c r="B148" t="s">
        <v>310</v>
      </c>
      <c r="C148">
        <v>1.0389999999999999</v>
      </c>
      <c r="D148">
        <v>307631661</v>
      </c>
      <c r="E148">
        <v>726444</v>
      </c>
      <c r="F148">
        <v>4.2520000000000002E-2</v>
      </c>
      <c r="G148">
        <v>296453053.72523397</v>
      </c>
      <c r="H148">
        <v>3.6413312387483326E-2</v>
      </c>
      <c r="I148">
        <v>0.17854974146975278</v>
      </c>
      <c r="J148" t="str">
        <f t="shared" si="16"/>
        <v>P</v>
      </c>
      <c r="K148" t="b">
        <f t="shared" si="17"/>
        <v>0</v>
      </c>
      <c r="L148" t="str">
        <f t="shared" si="18"/>
        <v>0.5-5</v>
      </c>
      <c r="M148">
        <f t="shared" si="19"/>
        <v>98817684.646732345</v>
      </c>
      <c r="N148" t="str">
        <f t="shared" si="20"/>
        <v>0-50</v>
      </c>
      <c r="O148" t="str">
        <f t="shared" si="23"/>
        <v>Up to 10</v>
      </c>
      <c r="P148">
        <f t="shared" si="21"/>
        <v>1.038621803398204</v>
      </c>
      <c r="Q148">
        <f t="shared" si="22"/>
        <v>3.7819660179594372E-4</v>
      </c>
    </row>
    <row r="149" spans="1:17" x14ac:dyDescent="0.3">
      <c r="A149" s="1" t="s">
        <v>311</v>
      </c>
      <c r="B149" t="s">
        <v>312</v>
      </c>
      <c r="C149">
        <v>0.358068</v>
      </c>
      <c r="D149">
        <v>304123790</v>
      </c>
      <c r="E149">
        <v>20127621</v>
      </c>
      <c r="F149">
        <v>0.12653</v>
      </c>
      <c r="G149">
        <v>849051956.28168392</v>
      </c>
      <c r="H149">
        <v>-0.99276731782324401</v>
      </c>
      <c r="I149">
        <v>-6.2938872758589577</v>
      </c>
      <c r="J149" t="str">
        <f t="shared" si="16"/>
        <v>L</v>
      </c>
      <c r="K149" t="b">
        <f t="shared" si="17"/>
        <v>0</v>
      </c>
      <c r="L149" t="str">
        <f t="shared" si="18"/>
        <v>0.05-0.5</v>
      </c>
      <c r="M149">
        <f t="shared" si="19"/>
        <v>283017316.33167642</v>
      </c>
      <c r="N149" t="str">
        <f t="shared" si="20"/>
        <v>0-50</v>
      </c>
      <c r="O149" t="str">
        <f t="shared" si="23"/>
        <v>Up to 10</v>
      </c>
      <c r="P149">
        <f t="shared" si="21"/>
        <v>0.36165842666205461</v>
      </c>
      <c r="Q149">
        <f t="shared" si="22"/>
        <v>-3.5904266620546132E-3</v>
      </c>
    </row>
    <row r="150" spans="1:17" x14ac:dyDescent="0.3">
      <c r="A150" s="1" t="s">
        <v>313</v>
      </c>
      <c r="B150" t="s">
        <v>314</v>
      </c>
      <c r="C150">
        <v>17.489999999999998</v>
      </c>
      <c r="D150">
        <v>303911650</v>
      </c>
      <c r="E150">
        <v>3033507</v>
      </c>
      <c r="F150">
        <v>3.3765800000000001</v>
      </c>
      <c r="G150">
        <v>17427448.512631599</v>
      </c>
      <c r="H150">
        <v>0.64918931790000312</v>
      </c>
      <c r="I150">
        <v>-6.1461130692192745</v>
      </c>
      <c r="J150" t="str">
        <f t="shared" si="16"/>
        <v>D</v>
      </c>
      <c r="K150" t="b">
        <f t="shared" si="17"/>
        <v>1</v>
      </c>
      <c r="L150" t="str">
        <f t="shared" si="18"/>
        <v>5-50</v>
      </c>
      <c r="M150">
        <f t="shared" si="19"/>
        <v>5809147.6719026165</v>
      </c>
      <c r="N150" t="str">
        <f t="shared" si="20"/>
        <v>0-50</v>
      </c>
      <c r="O150" t="str">
        <f t="shared" si="23"/>
        <v>Up to 10</v>
      </c>
      <c r="P150">
        <f t="shared" si="21"/>
        <v>17.377189144323768</v>
      </c>
      <c r="Q150">
        <f t="shared" si="22"/>
        <v>0.11281085567622995</v>
      </c>
    </row>
    <row r="151" spans="1:17" x14ac:dyDescent="0.3">
      <c r="A151" s="1" t="s">
        <v>315</v>
      </c>
      <c r="B151" t="s">
        <v>316</v>
      </c>
      <c r="C151">
        <v>15.02</v>
      </c>
      <c r="D151">
        <v>300746266</v>
      </c>
      <c r="E151">
        <v>6302323</v>
      </c>
      <c r="F151">
        <v>-5.7029999999999997E-2</v>
      </c>
      <c r="G151">
        <v>20031287.5</v>
      </c>
      <c r="H151">
        <v>-0.22060077502847475</v>
      </c>
      <c r="I151">
        <v>-9.9458941707521316</v>
      </c>
      <c r="J151" t="str">
        <f t="shared" si="16"/>
        <v>B</v>
      </c>
      <c r="K151" t="b">
        <f t="shared" si="17"/>
        <v>1</v>
      </c>
      <c r="L151" t="str">
        <f t="shared" si="18"/>
        <v>5-50</v>
      </c>
      <c r="M151">
        <f t="shared" si="19"/>
        <v>6677092.444501684</v>
      </c>
      <c r="N151" t="str">
        <f t="shared" si="20"/>
        <v>0-50</v>
      </c>
      <c r="O151" t="str">
        <f t="shared" si="23"/>
        <v>&gt;=10</v>
      </c>
      <c r="P151">
        <f t="shared" si="21"/>
        <v>15.053207492394868</v>
      </c>
      <c r="Q151">
        <f t="shared" si="22"/>
        <v>-3.3207492394868865E-2</v>
      </c>
    </row>
    <row r="152" spans="1:17" x14ac:dyDescent="0.3">
      <c r="A152" s="1" t="s">
        <v>317</v>
      </c>
      <c r="B152" t="s">
        <v>318</v>
      </c>
      <c r="C152">
        <v>0.29928100000000002</v>
      </c>
      <c r="D152">
        <v>300034776</v>
      </c>
      <c r="E152">
        <v>38604890</v>
      </c>
      <c r="F152">
        <v>-15.039339999999999</v>
      </c>
      <c r="G152">
        <v>1000000000</v>
      </c>
      <c r="H152">
        <v>-2.5331040002473739</v>
      </c>
      <c r="I152">
        <v>-37.878334906632929</v>
      </c>
      <c r="J152" t="str">
        <f t="shared" si="16"/>
        <v>B</v>
      </c>
      <c r="K152" t="b">
        <f t="shared" si="17"/>
        <v>1</v>
      </c>
      <c r="L152" t="str">
        <f t="shared" si="18"/>
        <v>0.05-0.5</v>
      </c>
      <c r="M152">
        <f t="shared" si="19"/>
        <v>333333319.86285371</v>
      </c>
      <c r="N152" t="str">
        <f t="shared" si="20"/>
        <v>0-50</v>
      </c>
      <c r="O152" t="str">
        <f t="shared" si="23"/>
        <v>&gt;=10</v>
      </c>
      <c r="P152">
        <f t="shared" si="21"/>
        <v>0.30705912702991961</v>
      </c>
      <c r="Q152">
        <f t="shared" si="22"/>
        <v>-7.7781270299195904E-3</v>
      </c>
    </row>
    <row r="153" spans="1:17" x14ac:dyDescent="0.3">
      <c r="A153" s="1" t="s">
        <v>319</v>
      </c>
      <c r="B153" t="s">
        <v>320</v>
      </c>
      <c r="C153">
        <v>5.7339000000000001E-2</v>
      </c>
      <c r="D153">
        <v>297586476</v>
      </c>
      <c r="E153">
        <v>7854400</v>
      </c>
      <c r="F153">
        <v>-1.03667</v>
      </c>
      <c r="G153">
        <v>5189835932.1300001</v>
      </c>
      <c r="H153">
        <v>-0.62099615639521411</v>
      </c>
      <c r="I153">
        <v>-17.662348097408643</v>
      </c>
      <c r="J153" t="str">
        <f t="shared" si="16"/>
        <v>C</v>
      </c>
      <c r="K153" t="b">
        <f t="shared" si="17"/>
        <v>1</v>
      </c>
      <c r="L153" t="str">
        <f t="shared" si="18"/>
        <v>0.05-0.5</v>
      </c>
      <c r="M153">
        <f t="shared" si="19"/>
        <v>1729945304.6155519</v>
      </c>
      <c r="N153" t="str">
        <f t="shared" si="20"/>
        <v>0-50</v>
      </c>
      <c r="O153" t="str">
        <f t="shared" si="23"/>
        <v>Up to 10</v>
      </c>
      <c r="P153">
        <f t="shared" si="21"/>
        <v>5.7697298002942168E-2</v>
      </c>
      <c r="Q153">
        <f t="shared" si="22"/>
        <v>-3.5829800294216729E-4</v>
      </c>
    </row>
    <row r="154" spans="1:17" x14ac:dyDescent="0.3">
      <c r="A154" s="1" t="s">
        <v>321</v>
      </c>
      <c r="B154" t="s">
        <v>322</v>
      </c>
      <c r="C154">
        <v>3.0936399999999999E-3</v>
      </c>
      <c r="D154">
        <v>295297558</v>
      </c>
      <c r="E154">
        <v>1856766</v>
      </c>
      <c r="F154">
        <v>0.97435000000000005</v>
      </c>
      <c r="G154">
        <v>95077236366.710007</v>
      </c>
      <c r="H154">
        <v>-1.566869469016164</v>
      </c>
      <c r="I154">
        <v>7.0935045318689358</v>
      </c>
      <c r="J154" t="str">
        <f t="shared" si="16"/>
        <v>T</v>
      </c>
      <c r="K154" t="b">
        <f t="shared" si="17"/>
        <v>0</v>
      </c>
      <c r="L154" t="str">
        <f t="shared" si="18"/>
        <v>0-0.05</v>
      </c>
      <c r="M154">
        <f t="shared" si="19"/>
        <v>31692412124.078884</v>
      </c>
      <c r="N154" t="str">
        <f t="shared" si="20"/>
        <v>0-50</v>
      </c>
      <c r="O154" t="str">
        <f t="shared" si="23"/>
        <v>Up to 10</v>
      </c>
      <c r="P154">
        <f t="shared" si="21"/>
        <v>3.1428849040072066E-3</v>
      </c>
      <c r="Q154">
        <f t="shared" si="22"/>
        <v>-4.9244904007206703E-5</v>
      </c>
    </row>
    <row r="155" spans="1:17" x14ac:dyDescent="0.3">
      <c r="A155" s="1" t="s">
        <v>323</v>
      </c>
      <c r="B155" t="s">
        <v>324</v>
      </c>
      <c r="C155">
        <v>3.0530000000000001E-5</v>
      </c>
      <c r="D155">
        <v>294715898</v>
      </c>
      <c r="E155">
        <v>21254608</v>
      </c>
      <c r="F155">
        <v>0.48065999999999998</v>
      </c>
      <c r="G155">
        <v>9652167661420</v>
      </c>
      <c r="H155">
        <v>-0.87382045024721045</v>
      </c>
      <c r="I155">
        <v>-11.261974898690736</v>
      </c>
      <c r="J155" t="str">
        <f t="shared" si="16"/>
        <v>F</v>
      </c>
      <c r="K155" t="b">
        <f t="shared" si="17"/>
        <v>0</v>
      </c>
      <c r="L155" t="str">
        <f t="shared" si="18"/>
        <v>0-0.05</v>
      </c>
      <c r="M155">
        <f t="shared" si="19"/>
        <v>3217389220469.2886</v>
      </c>
      <c r="N155" t="str">
        <f t="shared" si="20"/>
        <v>0-50</v>
      </c>
      <c r="O155" t="str">
        <f t="shared" si="23"/>
        <v>Up to 10</v>
      </c>
      <c r="P155">
        <f t="shared" si="21"/>
        <v>3.0799129088473114E-5</v>
      </c>
      <c r="Q155">
        <f t="shared" si="22"/>
        <v>-2.6912908847311295E-7</v>
      </c>
    </row>
    <row r="156" spans="1:17" x14ac:dyDescent="0.3">
      <c r="A156" s="1" t="s">
        <v>325</v>
      </c>
      <c r="B156" t="s">
        <v>326</v>
      </c>
      <c r="C156">
        <v>3.0067100000000001E-3</v>
      </c>
      <c r="D156">
        <v>294370064</v>
      </c>
      <c r="E156">
        <v>7507360</v>
      </c>
      <c r="F156">
        <v>5.5182799999999999</v>
      </c>
      <c r="G156">
        <v>97951717939.670685</v>
      </c>
      <c r="H156">
        <v>-0.76295536920603702</v>
      </c>
      <c r="I156">
        <v>-12.205380530654317</v>
      </c>
      <c r="J156" t="str">
        <f t="shared" si="16"/>
        <v>Z</v>
      </c>
      <c r="K156" t="b">
        <f t="shared" si="17"/>
        <v>0</v>
      </c>
      <c r="L156" t="str">
        <f t="shared" si="18"/>
        <v>0-0.05</v>
      </c>
      <c r="M156">
        <f t="shared" si="19"/>
        <v>32650572642.234116</v>
      </c>
      <c r="N156" t="str">
        <f t="shared" si="20"/>
        <v>0-50</v>
      </c>
      <c r="O156" t="str">
        <f t="shared" si="23"/>
        <v>Up to 10</v>
      </c>
      <c r="P156">
        <f t="shared" si="21"/>
        <v>3.0298262218371188E-3</v>
      </c>
      <c r="Q156">
        <f t="shared" si="22"/>
        <v>-2.3116221837118662E-5</v>
      </c>
    </row>
    <row r="157" spans="1:17" x14ac:dyDescent="0.3">
      <c r="A157" s="1" t="s">
        <v>327</v>
      </c>
      <c r="B157" t="s">
        <v>328</v>
      </c>
      <c r="C157">
        <v>1.0009999999999999</v>
      </c>
      <c r="D157">
        <v>286816435</v>
      </c>
      <c r="E157">
        <v>117172</v>
      </c>
      <c r="F157">
        <v>3.388E-2</v>
      </c>
      <c r="G157">
        <v>286530159.14941287</v>
      </c>
      <c r="H157">
        <v>0.21034617415088672</v>
      </c>
      <c r="I157">
        <v>0.11429374486665274</v>
      </c>
      <c r="J157" t="str">
        <f t="shared" si="16"/>
        <v>U</v>
      </c>
      <c r="K157" t="b">
        <f t="shared" si="17"/>
        <v>1</v>
      </c>
      <c r="L157" t="str">
        <f t="shared" si="18"/>
        <v>0.5-5</v>
      </c>
      <c r="M157">
        <f t="shared" si="19"/>
        <v>95510053.158017591</v>
      </c>
      <c r="N157" t="str">
        <f t="shared" si="20"/>
        <v>0-50</v>
      </c>
      <c r="O157" t="str">
        <f t="shared" si="23"/>
        <v>Up to 10</v>
      </c>
      <c r="P157">
        <f t="shared" si="21"/>
        <v>0.99889885447597271</v>
      </c>
      <c r="Q157">
        <f t="shared" si="22"/>
        <v>2.1011455240271815E-3</v>
      </c>
    </row>
    <row r="158" spans="1:17" x14ac:dyDescent="0.3">
      <c r="A158" s="1" t="s">
        <v>329</v>
      </c>
      <c r="B158" t="s">
        <v>330</v>
      </c>
      <c r="C158">
        <v>5.7455800000000001E-3</v>
      </c>
      <c r="D158">
        <v>284136204</v>
      </c>
      <c r="E158">
        <v>10970087</v>
      </c>
      <c r="F158">
        <v>1.5097400000000001</v>
      </c>
      <c r="G158">
        <v>49444999677.590271</v>
      </c>
      <c r="H158">
        <v>0.51490637960545893</v>
      </c>
      <c r="I158">
        <v>-10.697854003804467</v>
      </c>
      <c r="J158" t="str">
        <f t="shared" si="16"/>
        <v>J</v>
      </c>
      <c r="K158" t="b">
        <f t="shared" si="17"/>
        <v>0</v>
      </c>
      <c r="L158" t="str">
        <f t="shared" si="18"/>
        <v>0-0.05</v>
      </c>
      <c r="M158">
        <f t="shared" si="19"/>
        <v>16481666555.802443</v>
      </c>
      <c r="N158" t="str">
        <f t="shared" si="20"/>
        <v>0-50</v>
      </c>
      <c r="O158" t="str">
        <f t="shared" si="23"/>
        <v>Up to 10</v>
      </c>
      <c r="P158">
        <f t="shared" si="21"/>
        <v>5.7161471934333739E-3</v>
      </c>
      <c r="Q158">
        <f t="shared" si="22"/>
        <v>2.9432806566626231E-5</v>
      </c>
    </row>
    <row r="159" spans="1:17" x14ac:dyDescent="0.3">
      <c r="A159" s="1" t="s">
        <v>331</v>
      </c>
      <c r="B159" t="s">
        <v>332</v>
      </c>
      <c r="C159">
        <v>18.95</v>
      </c>
      <c r="D159">
        <v>284009822</v>
      </c>
      <c r="E159">
        <v>97610</v>
      </c>
      <c r="F159">
        <v>0.39419999999999999</v>
      </c>
      <c r="G159">
        <v>14981364.28253293</v>
      </c>
      <c r="H159">
        <v>-0.3268767367031214</v>
      </c>
      <c r="I159">
        <v>-2.9082326279936401</v>
      </c>
      <c r="J159" t="str">
        <f t="shared" si="16"/>
        <v>O</v>
      </c>
      <c r="K159" t="b">
        <f t="shared" si="17"/>
        <v>1</v>
      </c>
      <c r="L159" t="str">
        <f t="shared" si="18"/>
        <v>5-50</v>
      </c>
      <c r="M159">
        <f t="shared" si="19"/>
        <v>4993787.0158078549</v>
      </c>
      <c r="N159" t="str">
        <f t="shared" si="20"/>
        <v>0-50</v>
      </c>
      <c r="O159" t="str">
        <f t="shared" si="23"/>
        <v>Up to 10</v>
      </c>
      <c r="P159">
        <f t="shared" si="21"/>
        <v>19.01214628334823</v>
      </c>
      <c r="Q159">
        <f t="shared" si="22"/>
        <v>-6.2146283348230469E-2</v>
      </c>
    </row>
    <row r="160" spans="1:17" x14ac:dyDescent="0.3">
      <c r="A160" s="1" t="s">
        <v>333</v>
      </c>
      <c r="B160" t="s">
        <v>334</v>
      </c>
      <c r="C160">
        <v>75.13</v>
      </c>
      <c r="D160">
        <v>283826264</v>
      </c>
      <c r="E160">
        <v>886227</v>
      </c>
      <c r="F160">
        <v>-0.33883999999999997</v>
      </c>
      <c r="G160">
        <v>3777096.9336000001</v>
      </c>
      <c r="H160">
        <v>0.10604256576576972</v>
      </c>
      <c r="I160">
        <v>-14.245363147709414</v>
      </c>
      <c r="J160" t="str">
        <f t="shared" si="16"/>
        <v>K</v>
      </c>
      <c r="K160" t="b">
        <f t="shared" si="17"/>
        <v>0</v>
      </c>
      <c r="L160" t="str">
        <f t="shared" si="18"/>
        <v>&gt;50</v>
      </c>
      <c r="M160">
        <f t="shared" si="19"/>
        <v>1259027.5980931392</v>
      </c>
      <c r="N160" t="str">
        <f t="shared" si="20"/>
        <v>&gt;50</v>
      </c>
      <c r="O160" t="str">
        <f t="shared" si="23"/>
        <v>&gt;=10</v>
      </c>
      <c r="P160">
        <f t="shared" si="21"/>
        <v>75.050414614724701</v>
      </c>
      <c r="Q160">
        <f t="shared" si="22"/>
        <v>7.9585385275294129E-2</v>
      </c>
    </row>
    <row r="161" spans="1:17" x14ac:dyDescent="0.3">
      <c r="A161" s="1" t="s">
        <v>335</v>
      </c>
      <c r="B161" t="s">
        <v>336</v>
      </c>
      <c r="C161">
        <v>2.8398599999999999E-7</v>
      </c>
      <c r="D161">
        <v>281539628</v>
      </c>
      <c r="E161">
        <v>6862439</v>
      </c>
      <c r="F161">
        <v>0.20669999999999999</v>
      </c>
      <c r="G161">
        <v>990105592982874.75</v>
      </c>
      <c r="H161">
        <v>-1.1642310509314393</v>
      </c>
      <c r="I161">
        <v>-6.1047753860788738</v>
      </c>
      <c r="J161" t="str">
        <f t="shared" si="16"/>
        <v>A</v>
      </c>
      <c r="K161" t="b">
        <f t="shared" si="17"/>
        <v>1</v>
      </c>
      <c r="L161" t="str">
        <f t="shared" si="18"/>
        <v>0-0.05</v>
      </c>
      <c r="M161">
        <f t="shared" si="19"/>
        <v>330035197660955.81</v>
      </c>
      <c r="N161" t="str">
        <f t="shared" si="20"/>
        <v>0-50</v>
      </c>
      <c r="O161" t="str">
        <f t="shared" si="23"/>
        <v>&gt;=10</v>
      </c>
      <c r="P161">
        <f t="shared" si="21"/>
        <v>2.8733119903821651E-7</v>
      </c>
      <c r="Q161">
        <f t="shared" si="22"/>
        <v>-3.3451990382165269E-9</v>
      </c>
    </row>
    <row r="162" spans="1:17" x14ac:dyDescent="0.3">
      <c r="A162" s="1" t="s">
        <v>337</v>
      </c>
      <c r="B162" t="s">
        <v>338</v>
      </c>
      <c r="C162">
        <v>4.4382959999999999E-2</v>
      </c>
      <c r="D162">
        <v>279627190</v>
      </c>
      <c r="E162">
        <v>38588326</v>
      </c>
      <c r="F162">
        <v>4.7800099999999999</v>
      </c>
      <c r="G162">
        <v>6289850275.3489714</v>
      </c>
      <c r="H162">
        <v>0.20048364614252021</v>
      </c>
      <c r="I162">
        <v>-3.2606585606958194</v>
      </c>
      <c r="J162" t="str">
        <f t="shared" si="16"/>
        <v>S</v>
      </c>
      <c r="K162" t="b">
        <f t="shared" si="17"/>
        <v>0</v>
      </c>
      <c r="L162" t="str">
        <f t="shared" si="18"/>
        <v>0-0.05</v>
      </c>
      <c r="M162">
        <f t="shared" si="19"/>
        <v>2096616757.4295988</v>
      </c>
      <c r="N162" t="str">
        <f t="shared" si="20"/>
        <v>0-50</v>
      </c>
      <c r="O162" t="str">
        <f t="shared" si="23"/>
        <v>Up to 10</v>
      </c>
      <c r="P162">
        <f t="shared" si="21"/>
        <v>4.4294157458099892E-2</v>
      </c>
      <c r="Q162">
        <f t="shared" si="22"/>
        <v>8.8802541900107057E-5</v>
      </c>
    </row>
    <row r="163" spans="1:17" x14ac:dyDescent="0.3">
      <c r="A163" s="1" t="s">
        <v>339</v>
      </c>
      <c r="B163" t="s">
        <v>340</v>
      </c>
      <c r="C163">
        <v>0.129576</v>
      </c>
      <c r="D163">
        <v>278859354</v>
      </c>
      <c r="E163">
        <v>48542257</v>
      </c>
      <c r="F163">
        <v>1.76119</v>
      </c>
      <c r="G163">
        <v>2150875957</v>
      </c>
      <c r="H163">
        <v>-0.4436143850960757</v>
      </c>
      <c r="I163">
        <v>-11.350403958743991</v>
      </c>
      <c r="J163" t="str">
        <f t="shared" si="16"/>
        <v>O</v>
      </c>
      <c r="K163" t="b">
        <f t="shared" si="17"/>
        <v>1</v>
      </c>
      <c r="L163" t="str">
        <f t="shared" si="18"/>
        <v>0.05-0.5</v>
      </c>
      <c r="M163">
        <f t="shared" si="19"/>
        <v>716958648.40199387</v>
      </c>
      <c r="N163" t="str">
        <f t="shared" si="20"/>
        <v>0-50</v>
      </c>
      <c r="O163" t="str">
        <f t="shared" si="23"/>
        <v>Up to 10</v>
      </c>
      <c r="P163">
        <f t="shared" si="21"/>
        <v>0.13015337911243138</v>
      </c>
      <c r="Q163">
        <f t="shared" si="22"/>
        <v>-5.7737911243138651E-4</v>
      </c>
    </row>
    <row r="164" spans="1:17" x14ac:dyDescent="0.3">
      <c r="A164" s="1" t="s">
        <v>341</v>
      </c>
      <c r="B164" t="s">
        <v>342</v>
      </c>
      <c r="C164">
        <v>2.54243E-2</v>
      </c>
      <c r="D164">
        <v>274476252</v>
      </c>
      <c r="E164">
        <v>11882796</v>
      </c>
      <c r="F164">
        <v>1.8640000000000001</v>
      </c>
      <c r="G164">
        <v>10799867657.473471</v>
      </c>
      <c r="H164">
        <v>-0.91393210402664038</v>
      </c>
      <c r="I164">
        <v>-8.6517544593618911</v>
      </c>
      <c r="J164" t="str">
        <f t="shared" si="16"/>
        <v>T</v>
      </c>
      <c r="K164" t="b">
        <f t="shared" si="17"/>
        <v>0</v>
      </c>
      <c r="L164" t="str">
        <f t="shared" si="18"/>
        <v>0-0.05</v>
      </c>
      <c r="M164">
        <f t="shared" si="19"/>
        <v>3599955882.6359277</v>
      </c>
      <c r="N164" t="str">
        <f t="shared" si="20"/>
        <v>0-50</v>
      </c>
      <c r="O164" t="str">
        <f t="shared" si="23"/>
        <v>Up to 10</v>
      </c>
      <c r="P164">
        <f t="shared" si="21"/>
        <v>2.5658804047701229E-2</v>
      </c>
      <c r="Q164">
        <f t="shared" si="22"/>
        <v>-2.3450404770122835E-4</v>
      </c>
    </row>
    <row r="165" spans="1:17" x14ac:dyDescent="0.3">
      <c r="A165" s="1" t="s">
        <v>343</v>
      </c>
      <c r="B165" t="s">
        <v>344</v>
      </c>
      <c r="C165">
        <v>0.99280000000000002</v>
      </c>
      <c r="D165">
        <v>273884325</v>
      </c>
      <c r="E165">
        <v>747667</v>
      </c>
      <c r="F165">
        <v>4.1509999999999998E-2</v>
      </c>
      <c r="G165">
        <v>275847684.01026767</v>
      </c>
      <c r="H165">
        <v>-3.0696287601369623E-2</v>
      </c>
      <c r="I165">
        <v>-0.102892882369164</v>
      </c>
      <c r="J165" t="str">
        <f t="shared" si="16"/>
        <v>L</v>
      </c>
      <c r="K165" t="b">
        <f t="shared" si="17"/>
        <v>0</v>
      </c>
      <c r="L165" t="str">
        <f t="shared" si="18"/>
        <v>0.5-5</v>
      </c>
      <c r="M165">
        <f t="shared" si="19"/>
        <v>91949227.958892837</v>
      </c>
      <c r="N165" t="str">
        <f t="shared" si="20"/>
        <v>0-50</v>
      </c>
      <c r="O165" t="str">
        <f t="shared" si="23"/>
        <v>Up to 10</v>
      </c>
      <c r="P165">
        <f t="shared" si="21"/>
        <v>0.99310484631980955</v>
      </c>
      <c r="Q165">
        <f t="shared" si="22"/>
        <v>-3.0484631980953747E-4</v>
      </c>
    </row>
    <row r="166" spans="1:17" x14ac:dyDescent="0.3">
      <c r="A166" s="1" t="s">
        <v>345</v>
      </c>
      <c r="B166" t="s">
        <v>346</v>
      </c>
      <c r="C166">
        <v>0.124293</v>
      </c>
      <c r="D166">
        <v>260931769</v>
      </c>
      <c r="E166">
        <v>4534746</v>
      </c>
      <c r="F166">
        <v>-4.2963399999999998</v>
      </c>
      <c r="G166">
        <v>2100000000</v>
      </c>
      <c r="H166">
        <v>-0.66415224522006822</v>
      </c>
      <c r="I166">
        <v>-3.2959189944189551</v>
      </c>
      <c r="J166" t="str">
        <f t="shared" si="16"/>
        <v>E</v>
      </c>
      <c r="K166" t="b">
        <f t="shared" si="17"/>
        <v>1</v>
      </c>
      <c r="L166" t="str">
        <f t="shared" si="18"/>
        <v>0.05-0.5</v>
      </c>
      <c r="M166">
        <f t="shared" si="19"/>
        <v>699999998.67997634</v>
      </c>
      <c r="N166" t="str">
        <f t="shared" si="20"/>
        <v>0-50</v>
      </c>
      <c r="O166" t="str">
        <f t="shared" si="23"/>
        <v>Up to 10</v>
      </c>
      <c r="P166">
        <f t="shared" si="21"/>
        <v>0.12512401394794476</v>
      </c>
      <c r="Q166">
        <f t="shared" si="22"/>
        <v>-8.3101394794475592E-4</v>
      </c>
    </row>
    <row r="167" spans="1:17" x14ac:dyDescent="0.3">
      <c r="A167" s="1" t="s">
        <v>347</v>
      </c>
      <c r="B167" t="s">
        <v>348</v>
      </c>
      <c r="C167">
        <v>6.31</v>
      </c>
      <c r="D167">
        <v>255088056</v>
      </c>
      <c r="E167">
        <v>16173061</v>
      </c>
      <c r="F167">
        <v>1.02474</v>
      </c>
      <c r="G167">
        <v>40408647.500078425</v>
      </c>
      <c r="H167">
        <v>-0.40392273980911308</v>
      </c>
      <c r="I167">
        <v>-8.5493844588959327</v>
      </c>
      <c r="J167" t="str">
        <f t="shared" si="16"/>
        <v>E</v>
      </c>
      <c r="K167" t="b">
        <f t="shared" si="17"/>
        <v>1</v>
      </c>
      <c r="L167" t="str">
        <f t="shared" si="18"/>
        <v>5-50</v>
      </c>
      <c r="M167">
        <f t="shared" si="19"/>
        <v>13469546.182257077</v>
      </c>
      <c r="N167" t="str">
        <f t="shared" si="20"/>
        <v>0-50</v>
      </c>
      <c r="O167" t="str">
        <f t="shared" si="23"/>
        <v>Up to 10</v>
      </c>
      <c r="P167">
        <f t="shared" si="21"/>
        <v>6.3355908923153361</v>
      </c>
      <c r="Q167">
        <f t="shared" si="22"/>
        <v>-2.5590892315336511E-2</v>
      </c>
    </row>
    <row r="168" spans="1:17" x14ac:dyDescent="0.3">
      <c r="A168" s="1" t="s">
        <v>349</v>
      </c>
      <c r="B168" t="s">
        <v>350</v>
      </c>
      <c r="C168">
        <v>0.101539</v>
      </c>
      <c r="D168">
        <v>254684410</v>
      </c>
      <c r="E168">
        <v>13737017</v>
      </c>
      <c r="F168">
        <v>-18.73434</v>
      </c>
      <c r="G168">
        <v>2500000000</v>
      </c>
      <c r="H168">
        <v>-2.2438954959968607</v>
      </c>
      <c r="I168">
        <v>-50.862414168605994</v>
      </c>
      <c r="J168" t="str">
        <f t="shared" si="16"/>
        <v>U</v>
      </c>
      <c r="K168" t="b">
        <f t="shared" si="17"/>
        <v>1</v>
      </c>
      <c r="L168" t="str">
        <f t="shared" si="18"/>
        <v>0.05-0.5</v>
      </c>
      <c r="M168">
        <f t="shared" si="19"/>
        <v>833333315.63123</v>
      </c>
      <c r="N168" t="str">
        <f t="shared" si="20"/>
        <v>0-50</v>
      </c>
      <c r="O168" t="str">
        <f t="shared" si="23"/>
        <v>Up to 10</v>
      </c>
      <c r="P168">
        <f t="shared" si="21"/>
        <v>0.10386972815170019</v>
      </c>
      <c r="Q168">
        <f t="shared" si="22"/>
        <v>-2.3307281517001843E-3</v>
      </c>
    </row>
    <row r="169" spans="1:17" x14ac:dyDescent="0.3">
      <c r="A169" s="1" t="s">
        <v>351</v>
      </c>
      <c r="B169" t="s">
        <v>352</v>
      </c>
      <c r="C169">
        <v>5.6327000000000002E-2</v>
      </c>
      <c r="D169">
        <v>250268073</v>
      </c>
      <c r="E169">
        <v>5992956</v>
      </c>
      <c r="F169">
        <v>0.40656999999999999</v>
      </c>
      <c r="G169">
        <v>4446812518</v>
      </c>
      <c r="H169">
        <v>-0.43209859983376631</v>
      </c>
      <c r="I169">
        <v>-6.207528963308147</v>
      </c>
      <c r="J169" t="str">
        <f t="shared" si="16"/>
        <v>I</v>
      </c>
      <c r="K169" t="b">
        <f t="shared" si="17"/>
        <v>1</v>
      </c>
      <c r="L169" t="str">
        <f t="shared" si="18"/>
        <v>0.05-0.5</v>
      </c>
      <c r="M169">
        <f t="shared" si="19"/>
        <v>1482270837.1201241</v>
      </c>
      <c r="N169" t="str">
        <f t="shared" si="20"/>
        <v>0-50</v>
      </c>
      <c r="O169" t="str">
        <f t="shared" si="23"/>
        <v>Up to 10</v>
      </c>
      <c r="P169">
        <f t="shared" si="21"/>
        <v>5.6571444419241279E-2</v>
      </c>
      <c r="Q169">
        <f t="shared" si="22"/>
        <v>-2.4444441924127702E-4</v>
      </c>
    </row>
    <row r="170" spans="1:17" x14ac:dyDescent="0.3">
      <c r="A170" s="1" t="s">
        <v>353</v>
      </c>
      <c r="B170" t="s">
        <v>354</v>
      </c>
      <c r="C170">
        <v>0.99952300000000005</v>
      </c>
      <c r="D170">
        <v>249856878</v>
      </c>
      <c r="E170">
        <v>130928911</v>
      </c>
      <c r="F170">
        <v>-9.9699999999999997E-3</v>
      </c>
      <c r="G170">
        <v>250000000</v>
      </c>
      <c r="H170">
        <v>-2.481104511874424E-2</v>
      </c>
      <c r="I170">
        <v>-1.3818904547403223E-2</v>
      </c>
      <c r="J170" t="str">
        <f t="shared" si="16"/>
        <v>R</v>
      </c>
      <c r="K170" t="b">
        <f t="shared" si="17"/>
        <v>0</v>
      </c>
      <c r="L170" t="str">
        <f t="shared" si="18"/>
        <v>0.5-5</v>
      </c>
      <c r="M170">
        <f t="shared" si="19"/>
        <v>83333333.320456684</v>
      </c>
      <c r="N170" t="str">
        <f t="shared" si="20"/>
        <v>0-50</v>
      </c>
      <c r="O170" t="str">
        <f t="shared" si="23"/>
        <v>Up to 10</v>
      </c>
      <c r="P170">
        <f t="shared" si="21"/>
        <v>0.99977105364720464</v>
      </c>
      <c r="Q170">
        <f t="shared" si="22"/>
        <v>-2.4805364720459355E-4</v>
      </c>
    </row>
    <row r="171" spans="1:17" x14ac:dyDescent="0.3">
      <c r="A171" s="1" t="s">
        <v>355</v>
      </c>
      <c r="B171" t="s">
        <v>356</v>
      </c>
      <c r="C171">
        <v>0.99802999999999997</v>
      </c>
      <c r="D171">
        <v>243945765</v>
      </c>
      <c r="E171">
        <v>4546065</v>
      </c>
      <c r="F171">
        <v>-1.384E-2</v>
      </c>
      <c r="G171">
        <v>244340886.50039721</v>
      </c>
      <c r="H171">
        <v>-0.12642839999330224</v>
      </c>
      <c r="I171">
        <v>-0.24888000344354305</v>
      </c>
      <c r="J171" t="str">
        <f t="shared" si="16"/>
        <v>M</v>
      </c>
      <c r="K171" t="b">
        <f t="shared" si="17"/>
        <v>0</v>
      </c>
      <c r="L171" t="str">
        <f t="shared" si="18"/>
        <v>0.5-5</v>
      </c>
      <c r="M171">
        <f t="shared" si="19"/>
        <v>81446962.041696265</v>
      </c>
      <c r="N171" t="str">
        <f t="shared" si="20"/>
        <v>0-50</v>
      </c>
      <c r="O171" t="str">
        <f t="shared" si="23"/>
        <v>Up to 10</v>
      </c>
      <c r="P171">
        <f t="shared" si="21"/>
        <v>0.99929339064503131</v>
      </c>
      <c r="Q171">
        <f t="shared" si="22"/>
        <v>-1.263390645031337E-3</v>
      </c>
    </row>
    <row r="172" spans="1:17" x14ac:dyDescent="0.3">
      <c r="A172" s="1" t="s">
        <v>357</v>
      </c>
      <c r="B172" t="s">
        <v>358</v>
      </c>
      <c r="C172">
        <v>1.1400000000000001E-6</v>
      </c>
      <c r="D172">
        <v>239256953</v>
      </c>
      <c r="E172">
        <v>36402821</v>
      </c>
      <c r="F172">
        <v>3.4689999999999999E-2</v>
      </c>
      <c r="G172">
        <v>210000000000000</v>
      </c>
      <c r="H172">
        <v>-0.26114304249148512</v>
      </c>
      <c r="I172">
        <v>-7.4808556173684577</v>
      </c>
      <c r="J172" t="str">
        <f t="shared" si="16"/>
        <v>A</v>
      </c>
      <c r="K172" t="b">
        <f t="shared" si="17"/>
        <v>1</v>
      </c>
      <c r="L172" t="str">
        <f t="shared" si="18"/>
        <v>0-0.05</v>
      </c>
      <c r="M172">
        <f t="shared" si="19"/>
        <v>69999999999997.43</v>
      </c>
      <c r="N172" t="str">
        <f t="shared" si="20"/>
        <v>0-50</v>
      </c>
      <c r="O172" t="str">
        <f t="shared" si="23"/>
        <v>Up to 10</v>
      </c>
      <c r="P172">
        <f t="shared" si="21"/>
        <v>1.1429848253481301E-6</v>
      </c>
      <c r="Q172">
        <f t="shared" si="22"/>
        <v>-2.9848253481300355E-9</v>
      </c>
    </row>
    <row r="173" spans="1:17" x14ac:dyDescent="0.3">
      <c r="A173" s="1" t="s">
        <v>359</v>
      </c>
      <c r="B173" t="s">
        <v>360</v>
      </c>
      <c r="C173">
        <v>0.49956499999999998</v>
      </c>
      <c r="D173">
        <v>236509910</v>
      </c>
      <c r="E173">
        <v>120667009</v>
      </c>
      <c r="F173">
        <v>15.31457</v>
      </c>
      <c r="G173">
        <v>473835191.30000001</v>
      </c>
      <c r="H173">
        <v>-2.6858335023109459</v>
      </c>
      <c r="I173">
        <v>1.1813689464871238</v>
      </c>
      <c r="J173" t="str">
        <f t="shared" si="16"/>
        <v>J</v>
      </c>
      <c r="K173" t="b">
        <f t="shared" si="17"/>
        <v>0</v>
      </c>
      <c r="L173" t="str">
        <f t="shared" si="18"/>
        <v>0.05-0.5</v>
      </c>
      <c r="M173">
        <f t="shared" si="19"/>
        <v>157945063.26517847</v>
      </c>
      <c r="N173" t="str">
        <f t="shared" si="20"/>
        <v>0-50</v>
      </c>
      <c r="O173" t="str">
        <f t="shared" si="23"/>
        <v>Up to 10</v>
      </c>
      <c r="P173">
        <f t="shared" si="21"/>
        <v>0.51335280152850438</v>
      </c>
      <c r="Q173">
        <f t="shared" si="22"/>
        <v>-1.3787801528504395E-2</v>
      </c>
    </row>
    <row r="174" spans="1:17" x14ac:dyDescent="0.3">
      <c r="A174" s="1" t="s">
        <v>361</v>
      </c>
      <c r="B174" t="s">
        <v>362</v>
      </c>
      <c r="C174">
        <v>0.20146600000000001</v>
      </c>
      <c r="D174">
        <v>233615317</v>
      </c>
      <c r="E174">
        <v>13067083</v>
      </c>
      <c r="F174">
        <v>-4.54087</v>
      </c>
      <c r="G174">
        <v>1159459590.7885313</v>
      </c>
      <c r="H174">
        <v>0.89722200769105975</v>
      </c>
      <c r="I174">
        <v>-13.146690994478416</v>
      </c>
      <c r="J174" t="str">
        <f t="shared" si="16"/>
        <v>M</v>
      </c>
      <c r="K174" t="b">
        <f t="shared" si="17"/>
        <v>0</v>
      </c>
      <c r="L174" t="str">
        <f t="shared" si="18"/>
        <v>0.05-0.5</v>
      </c>
      <c r="M174">
        <f t="shared" si="19"/>
        <v>386486526.17968744</v>
      </c>
      <c r="N174" t="str">
        <f t="shared" si="20"/>
        <v>0-50</v>
      </c>
      <c r="O174" t="str">
        <f t="shared" si="23"/>
        <v>Up to 10</v>
      </c>
      <c r="P174">
        <f t="shared" si="21"/>
        <v>0.19967447665173865</v>
      </c>
      <c r="Q174">
        <f t="shared" si="22"/>
        <v>1.7915233482613535E-3</v>
      </c>
    </row>
    <row r="175" spans="1:17" x14ac:dyDescent="0.3">
      <c r="A175" s="1" t="s">
        <v>363</v>
      </c>
      <c r="B175" t="s">
        <v>364</v>
      </c>
      <c r="C175">
        <v>7.1777999999999995E-2</v>
      </c>
      <c r="D175">
        <v>233043466</v>
      </c>
      <c r="E175">
        <v>7533849</v>
      </c>
      <c r="F175">
        <v>1.11951</v>
      </c>
      <c r="G175">
        <v>3246726475</v>
      </c>
      <c r="H175">
        <v>-0.30284271484074793</v>
      </c>
      <c r="I175">
        <v>-5.4279615468585494</v>
      </c>
      <c r="J175" t="str">
        <f t="shared" si="16"/>
        <v>R</v>
      </c>
      <c r="K175" t="b">
        <f t="shared" si="17"/>
        <v>0</v>
      </c>
      <c r="L175" t="str">
        <f t="shared" si="18"/>
        <v>0.05-0.5</v>
      </c>
      <c r="M175">
        <f t="shared" si="19"/>
        <v>1082242156.4230654</v>
      </c>
      <c r="N175" t="str">
        <f t="shared" si="20"/>
        <v>0-50</v>
      </c>
      <c r="O175" t="str">
        <f t="shared" si="23"/>
        <v>Up to 10</v>
      </c>
      <c r="P175">
        <f t="shared" si="21"/>
        <v>7.1996034746203086E-2</v>
      </c>
      <c r="Q175">
        <f t="shared" si="22"/>
        <v>-2.1803474620309127E-4</v>
      </c>
    </row>
    <row r="176" spans="1:17" x14ac:dyDescent="0.3">
      <c r="A176" s="1" t="s">
        <v>365</v>
      </c>
      <c r="B176" t="s">
        <v>366</v>
      </c>
      <c r="C176">
        <v>0.77480099999999996</v>
      </c>
      <c r="D176">
        <v>226446251</v>
      </c>
      <c r="E176">
        <v>12787359</v>
      </c>
      <c r="F176">
        <v>1.13148</v>
      </c>
      <c r="G176">
        <v>292078878.41442698</v>
      </c>
      <c r="H176">
        <v>-1.024241013953004</v>
      </c>
      <c r="I176">
        <v>-3.6286971212036208</v>
      </c>
      <c r="J176" t="str">
        <f t="shared" si="16"/>
        <v>A</v>
      </c>
      <c r="K176" t="b">
        <f t="shared" si="17"/>
        <v>1</v>
      </c>
      <c r="L176" t="str">
        <f t="shared" si="18"/>
        <v>0.5-5</v>
      </c>
      <c r="M176">
        <f t="shared" si="19"/>
        <v>97359624.587162957</v>
      </c>
      <c r="N176" t="str">
        <f t="shared" si="20"/>
        <v>0-50</v>
      </c>
      <c r="O176" t="str">
        <f t="shared" si="23"/>
        <v>Up to 10</v>
      </c>
      <c r="P176">
        <f t="shared" si="21"/>
        <v>0.78281895277936364</v>
      </c>
      <c r="Q176">
        <f t="shared" si="22"/>
        <v>-8.0179527793636796E-3</v>
      </c>
    </row>
    <row r="177" spans="1:17" x14ac:dyDescent="0.3">
      <c r="A177" s="1" t="s">
        <v>367</v>
      </c>
      <c r="B177" t="s">
        <v>368</v>
      </c>
      <c r="C177">
        <v>0.99920299999999995</v>
      </c>
      <c r="D177">
        <v>221937905</v>
      </c>
      <c r="E177">
        <v>17596222</v>
      </c>
      <c r="F177">
        <v>2.0559999999999998E-2</v>
      </c>
      <c r="G177">
        <v>222051397.73447999</v>
      </c>
      <c r="H177">
        <v>-2.853099403055992E-2</v>
      </c>
      <c r="I177">
        <v>-3.9360063969295839E-2</v>
      </c>
      <c r="J177" t="str">
        <f t="shared" si="16"/>
        <v>c</v>
      </c>
      <c r="K177" t="b">
        <f t="shared" si="17"/>
        <v>1</v>
      </c>
      <c r="L177" t="str">
        <f t="shared" si="18"/>
        <v>0.5-5</v>
      </c>
      <c r="M177">
        <f t="shared" si="19"/>
        <v>74017132.555529639</v>
      </c>
      <c r="N177" t="str">
        <f t="shared" si="20"/>
        <v>0-50</v>
      </c>
      <c r="O177" t="str">
        <f t="shared" si="23"/>
        <v>Up to 10</v>
      </c>
      <c r="P177">
        <f t="shared" si="21"/>
        <v>0.9994881639083808</v>
      </c>
      <c r="Q177">
        <f t="shared" si="22"/>
        <v>-2.8516390838084771E-4</v>
      </c>
    </row>
    <row r="178" spans="1:17" x14ac:dyDescent="0.3">
      <c r="A178" s="1" t="s">
        <v>369</v>
      </c>
      <c r="B178" t="s">
        <v>370</v>
      </c>
      <c r="C178">
        <v>22.65</v>
      </c>
      <c r="D178">
        <v>218992007</v>
      </c>
      <c r="E178">
        <v>9888582</v>
      </c>
      <c r="F178">
        <v>-0.27915000000000001</v>
      </c>
      <c r="G178">
        <v>9668189.2783608865</v>
      </c>
      <c r="H178">
        <v>-0.99654263582428237</v>
      </c>
      <c r="I178">
        <v>5.8084946925981366E-2</v>
      </c>
      <c r="J178" t="str">
        <f t="shared" si="16"/>
        <v>C</v>
      </c>
      <c r="K178" t="b">
        <f t="shared" si="17"/>
        <v>1</v>
      </c>
      <c r="L178" t="str">
        <f t="shared" si="18"/>
        <v>5-50</v>
      </c>
      <c r="M178">
        <f t="shared" si="19"/>
        <v>3222729.4466343988</v>
      </c>
      <c r="N178" t="str">
        <f t="shared" si="20"/>
        <v>0-50</v>
      </c>
      <c r="O178" t="str">
        <f t="shared" si="23"/>
        <v>Up to 10</v>
      </c>
      <c r="P178">
        <f t="shared" si="21"/>
        <v>22.877988913744616</v>
      </c>
      <c r="Q178">
        <f t="shared" si="22"/>
        <v>-0.22798891374461761</v>
      </c>
    </row>
    <row r="179" spans="1:17" x14ac:dyDescent="0.3">
      <c r="A179" s="1" t="s">
        <v>371</v>
      </c>
      <c r="B179" t="s">
        <v>372</v>
      </c>
      <c r="C179">
        <v>8.7041999999999994E-2</v>
      </c>
      <c r="D179">
        <v>218027563</v>
      </c>
      <c r="E179">
        <v>43175646</v>
      </c>
      <c r="F179">
        <v>4.1123399999999997</v>
      </c>
      <c r="G179">
        <v>2505729166.6666999</v>
      </c>
      <c r="H179">
        <v>-0.47675133310394902</v>
      </c>
      <c r="I179">
        <v>-7.4191204741183556</v>
      </c>
      <c r="J179" t="str">
        <f t="shared" si="16"/>
        <v>P</v>
      </c>
      <c r="K179" t="b">
        <f t="shared" si="17"/>
        <v>0</v>
      </c>
      <c r="L179" t="str">
        <f t="shared" si="18"/>
        <v>0.05-0.5</v>
      </c>
      <c r="M179">
        <f t="shared" si="19"/>
        <v>835243052.92360938</v>
      </c>
      <c r="N179" t="str">
        <f t="shared" si="20"/>
        <v>0-50</v>
      </c>
      <c r="O179" t="str">
        <f t="shared" si="23"/>
        <v>&gt;=10</v>
      </c>
      <c r="P179">
        <f t="shared" si="21"/>
        <v>8.7458961766138932E-2</v>
      </c>
      <c r="Q179">
        <f t="shared" si="22"/>
        <v>-4.1696176613893743E-4</v>
      </c>
    </row>
    <row r="180" spans="1:17" x14ac:dyDescent="0.3">
      <c r="A180" s="1" t="s">
        <v>373</v>
      </c>
      <c r="B180" t="s">
        <v>374</v>
      </c>
      <c r="C180">
        <v>0.98303700000000005</v>
      </c>
      <c r="D180">
        <v>216944422</v>
      </c>
      <c r="E180">
        <v>1.47</v>
      </c>
      <c r="G180">
        <v>220687959.0114319</v>
      </c>
      <c r="I180">
        <v>-4.7730769083253341E-2</v>
      </c>
      <c r="J180" t="str">
        <f t="shared" si="16"/>
        <v>U</v>
      </c>
      <c r="K180" t="b">
        <f t="shared" si="17"/>
        <v>1</v>
      </c>
      <c r="L180" t="str">
        <f t="shared" si="18"/>
        <v>0.5-5</v>
      </c>
      <c r="M180">
        <f t="shared" si="19"/>
        <v>110343979.48185056</v>
      </c>
      <c r="N180" t="str">
        <f t="shared" si="20"/>
        <v>0-50</v>
      </c>
      <c r="O180" t="str">
        <f t="shared" si="23"/>
        <v>Up to 10</v>
      </c>
      <c r="P180">
        <f t="shared" si="21"/>
        <v>0.98303700000000005</v>
      </c>
      <c r="Q180">
        <f t="shared" si="22"/>
        <v>0</v>
      </c>
    </row>
    <row r="181" spans="1:17" x14ac:dyDescent="0.3">
      <c r="A181" s="1" t="s">
        <v>375</v>
      </c>
      <c r="B181" t="s">
        <v>376</v>
      </c>
      <c r="C181">
        <v>9.035E-2</v>
      </c>
      <c r="D181">
        <v>211208880</v>
      </c>
      <c r="E181">
        <v>16199656</v>
      </c>
      <c r="F181">
        <v>2.7307199999999998</v>
      </c>
      <c r="G181">
        <v>2340000000</v>
      </c>
      <c r="H181">
        <v>-8.1519674093067152E-2</v>
      </c>
      <c r="I181">
        <v>13.139190647468006</v>
      </c>
      <c r="J181" t="str">
        <f t="shared" si="16"/>
        <v>F</v>
      </c>
      <c r="K181" t="b">
        <f t="shared" si="17"/>
        <v>0</v>
      </c>
      <c r="L181" t="str">
        <f t="shared" si="18"/>
        <v>0.05-0.5</v>
      </c>
      <c r="M181">
        <f t="shared" si="19"/>
        <v>780000004.35255706</v>
      </c>
      <c r="N181" t="str">
        <f t="shared" si="20"/>
        <v>0-50</v>
      </c>
      <c r="O181" t="str">
        <f t="shared" si="23"/>
        <v>Up to 10</v>
      </c>
      <c r="P181">
        <f t="shared" si="21"/>
        <v>9.0423713116235205E-2</v>
      </c>
      <c r="Q181">
        <f t="shared" si="22"/>
        <v>-7.3713116235205045E-5</v>
      </c>
    </row>
    <row r="182" spans="1:17" x14ac:dyDescent="0.3">
      <c r="A182" s="1" t="s">
        <v>377</v>
      </c>
      <c r="B182" t="s">
        <v>378</v>
      </c>
      <c r="C182">
        <v>1.2</v>
      </c>
      <c r="D182">
        <v>207896500</v>
      </c>
      <c r="E182">
        <v>17282039</v>
      </c>
      <c r="F182">
        <v>0.2586</v>
      </c>
      <c r="G182">
        <v>173384825.001344</v>
      </c>
      <c r="H182">
        <v>-0.42772206487220499</v>
      </c>
      <c r="I182">
        <v>-4.5043337213582637</v>
      </c>
      <c r="J182" t="str">
        <f t="shared" si="16"/>
        <v>A</v>
      </c>
      <c r="K182" t="b">
        <f t="shared" si="17"/>
        <v>1</v>
      </c>
      <c r="L182" t="str">
        <f t="shared" si="18"/>
        <v>0.5-5</v>
      </c>
      <c r="M182">
        <f t="shared" si="19"/>
        <v>57794940.023096062</v>
      </c>
      <c r="N182" t="str">
        <f t="shared" si="20"/>
        <v>0-50</v>
      </c>
      <c r="O182" t="str">
        <f t="shared" si="23"/>
        <v>Up to 10</v>
      </c>
      <c r="P182">
        <f t="shared" si="21"/>
        <v>1.2051547126217304</v>
      </c>
      <c r="Q182">
        <f t="shared" si="22"/>
        <v>-5.1547126217303951E-3</v>
      </c>
    </row>
    <row r="183" spans="1:17" x14ac:dyDescent="0.3">
      <c r="A183" s="1" t="s">
        <v>379</v>
      </c>
      <c r="B183" t="s">
        <v>380</v>
      </c>
      <c r="C183">
        <v>0.93042400000000003</v>
      </c>
      <c r="D183">
        <v>207038323</v>
      </c>
      <c r="E183">
        <v>135313434</v>
      </c>
      <c r="F183">
        <v>15.293100000000001</v>
      </c>
      <c r="G183">
        <v>222650000</v>
      </c>
      <c r="H183">
        <v>-0.79547780202328666</v>
      </c>
      <c r="I183">
        <v>129.29528660678614</v>
      </c>
      <c r="J183" t="str">
        <f t="shared" si="16"/>
        <v>B</v>
      </c>
      <c r="K183" t="b">
        <f t="shared" si="17"/>
        <v>1</v>
      </c>
      <c r="L183" t="str">
        <f t="shared" si="18"/>
        <v>0.5-5</v>
      </c>
      <c r="M183">
        <f t="shared" si="19"/>
        <v>74216709.499936268</v>
      </c>
      <c r="N183" t="str">
        <f t="shared" si="20"/>
        <v>0-50</v>
      </c>
      <c r="O183" t="str">
        <f t="shared" si="23"/>
        <v>Up to 10</v>
      </c>
      <c r="P183">
        <f t="shared" si="21"/>
        <v>0.93788466431319217</v>
      </c>
      <c r="Q183">
        <f t="shared" si="22"/>
        <v>-7.4606643131921446E-3</v>
      </c>
    </row>
    <row r="184" spans="1:17" x14ac:dyDescent="0.3">
      <c r="A184" s="1" t="s">
        <v>381</v>
      </c>
      <c r="B184" t="s">
        <v>382</v>
      </c>
      <c r="C184">
        <v>0.76845799999999997</v>
      </c>
      <c r="D184">
        <v>206897302</v>
      </c>
      <c r="E184">
        <v>31053207</v>
      </c>
      <c r="F184">
        <v>3.5968499999999999</v>
      </c>
      <c r="G184">
        <v>268977952.31723797</v>
      </c>
      <c r="H184">
        <v>-0.90660798781897445</v>
      </c>
      <c r="I184">
        <v>-1.0844685199332689</v>
      </c>
      <c r="J184" t="str">
        <f t="shared" si="16"/>
        <v>R</v>
      </c>
      <c r="K184" t="b">
        <f t="shared" si="17"/>
        <v>0</v>
      </c>
      <c r="L184" t="str">
        <f t="shared" si="18"/>
        <v>0.5-5</v>
      </c>
      <c r="M184">
        <f t="shared" si="19"/>
        <v>89659316.775387153</v>
      </c>
      <c r="N184" t="str">
        <f t="shared" si="20"/>
        <v>0-50</v>
      </c>
      <c r="O184" t="str">
        <f t="shared" si="23"/>
        <v>Up to 10</v>
      </c>
      <c r="P184">
        <f t="shared" si="21"/>
        <v>0.7754886419727538</v>
      </c>
      <c r="Q184">
        <f t="shared" si="22"/>
        <v>-7.0306419727538261E-3</v>
      </c>
    </row>
    <row r="185" spans="1:17" x14ac:dyDescent="0.3">
      <c r="A185" s="1" t="s">
        <v>383</v>
      </c>
      <c r="B185" t="s">
        <v>384</v>
      </c>
      <c r="C185">
        <v>2.89</v>
      </c>
      <c r="D185">
        <v>204319449</v>
      </c>
      <c r="E185">
        <v>6172092</v>
      </c>
      <c r="F185">
        <v>1.1685099999999999</v>
      </c>
      <c r="G185">
        <v>70530000</v>
      </c>
      <c r="H185">
        <v>-0.16260815431483883</v>
      </c>
      <c r="I185">
        <v>-7.2877599562878173</v>
      </c>
      <c r="J185" t="str">
        <f t="shared" si="16"/>
        <v>N</v>
      </c>
      <c r="K185" t="b">
        <f t="shared" si="17"/>
        <v>0</v>
      </c>
      <c r="L185" t="str">
        <f t="shared" si="18"/>
        <v>0.5-5</v>
      </c>
      <c r="M185">
        <f t="shared" si="19"/>
        <v>23509997.516543958</v>
      </c>
      <c r="N185" t="str">
        <f t="shared" si="20"/>
        <v>0-50</v>
      </c>
      <c r="O185" t="str">
        <f t="shared" si="23"/>
        <v>Up to 10</v>
      </c>
      <c r="P185">
        <f t="shared" si="21"/>
        <v>2.8947070296737745</v>
      </c>
      <c r="Q185">
        <f t="shared" si="22"/>
        <v>-4.7070296737743433E-3</v>
      </c>
    </row>
    <row r="186" spans="1:17" x14ac:dyDescent="0.3">
      <c r="A186" s="1" t="s">
        <v>385</v>
      </c>
      <c r="B186" t="s">
        <v>386</v>
      </c>
      <c r="C186">
        <v>0.34782600000000002</v>
      </c>
      <c r="D186">
        <v>204079057</v>
      </c>
      <c r="E186">
        <v>12734645</v>
      </c>
      <c r="F186">
        <v>16.126799999999999</v>
      </c>
      <c r="G186">
        <v>587143499</v>
      </c>
      <c r="H186">
        <v>-0.5038008278453715</v>
      </c>
      <c r="I186">
        <v>5.0957629691004964</v>
      </c>
      <c r="J186" t="str">
        <f t="shared" si="16"/>
        <v>G</v>
      </c>
      <c r="K186" t="b">
        <f t="shared" si="17"/>
        <v>0</v>
      </c>
      <c r="L186" t="str">
        <f t="shared" si="18"/>
        <v>0.05-0.5</v>
      </c>
      <c r="M186">
        <f t="shared" si="19"/>
        <v>195714501.1973207</v>
      </c>
      <c r="N186" t="str">
        <f t="shared" si="20"/>
        <v>0-50</v>
      </c>
      <c r="O186" t="str">
        <f t="shared" si="23"/>
        <v>Up to 10</v>
      </c>
      <c r="P186">
        <f t="shared" si="21"/>
        <v>0.3495872233251538</v>
      </c>
      <c r="Q186">
        <f t="shared" si="22"/>
        <v>-1.7612233251537712E-3</v>
      </c>
    </row>
    <row r="187" spans="1:17" x14ac:dyDescent="0.3">
      <c r="A187" s="1" t="s">
        <v>387</v>
      </c>
      <c r="B187" t="s">
        <v>388</v>
      </c>
      <c r="C187">
        <v>0.203241</v>
      </c>
      <c r="D187">
        <v>203704003</v>
      </c>
      <c r="E187">
        <v>8432152</v>
      </c>
      <c r="F187">
        <v>2.0936900000000001</v>
      </c>
      <c r="G187">
        <v>1000000000</v>
      </c>
      <c r="H187">
        <v>-0.87453888258106072</v>
      </c>
      <c r="I187">
        <v>-7.6419899559162312</v>
      </c>
      <c r="J187" t="str">
        <f t="shared" si="16"/>
        <v>T</v>
      </c>
      <c r="K187" t="b">
        <f t="shared" si="17"/>
        <v>0</v>
      </c>
      <c r="L187" t="str">
        <f t="shared" si="18"/>
        <v>0.05-0.5</v>
      </c>
      <c r="M187">
        <f t="shared" si="19"/>
        <v>333333330.49449039</v>
      </c>
      <c r="N187" t="str">
        <f t="shared" si="20"/>
        <v>0-50</v>
      </c>
      <c r="O187" t="str">
        <f t="shared" si="23"/>
        <v>Up to 10</v>
      </c>
      <c r="P187">
        <f t="shared" si="21"/>
        <v>0.20503410295287419</v>
      </c>
      <c r="Q187">
        <f t="shared" si="22"/>
        <v>-1.7931029528741871E-3</v>
      </c>
    </row>
    <row r="188" spans="1:17" ht="28.8" x14ac:dyDescent="0.3">
      <c r="A188" s="1" t="s">
        <v>389</v>
      </c>
      <c r="B188" t="s">
        <v>390</v>
      </c>
      <c r="C188">
        <v>1</v>
      </c>
      <c r="D188">
        <v>202500000</v>
      </c>
      <c r="E188">
        <v>0</v>
      </c>
      <c r="F188">
        <v>0</v>
      </c>
      <c r="G188">
        <v>202500000</v>
      </c>
      <c r="H188">
        <v>0</v>
      </c>
      <c r="I188">
        <v>0</v>
      </c>
      <c r="J188" t="str">
        <f t="shared" si="16"/>
        <v>T</v>
      </c>
      <c r="K188" t="b">
        <f t="shared" si="17"/>
        <v>0</v>
      </c>
      <c r="L188" t="str">
        <f t="shared" si="18"/>
        <v>0.5-5</v>
      </c>
      <c r="M188">
        <f t="shared" si="19"/>
        <v>67500000</v>
      </c>
      <c r="N188" t="str">
        <f t="shared" si="20"/>
        <v>0-50</v>
      </c>
      <c r="O188" t="str">
        <f t="shared" si="23"/>
        <v>Up to 10</v>
      </c>
      <c r="P188">
        <f t="shared" si="21"/>
        <v>1</v>
      </c>
      <c r="Q188">
        <f t="shared" si="22"/>
        <v>0</v>
      </c>
    </row>
    <row r="189" spans="1:17" x14ac:dyDescent="0.3">
      <c r="A189" s="1" t="s">
        <v>391</v>
      </c>
      <c r="B189" t="s">
        <v>392</v>
      </c>
      <c r="C189">
        <v>0.74696399999999996</v>
      </c>
      <c r="D189">
        <v>200721703</v>
      </c>
      <c r="E189">
        <v>8941451</v>
      </c>
      <c r="F189">
        <v>2.0979000000000001</v>
      </c>
      <c r="G189">
        <v>269750000</v>
      </c>
      <c r="H189">
        <v>0.57632346678547186</v>
      </c>
      <c r="I189">
        <v>-28.694899713132511</v>
      </c>
      <c r="J189" t="str">
        <f t="shared" si="16"/>
        <v>P</v>
      </c>
      <c r="K189" t="b">
        <f t="shared" si="17"/>
        <v>0</v>
      </c>
      <c r="L189" t="str">
        <f t="shared" si="18"/>
        <v>0.5-5</v>
      </c>
      <c r="M189">
        <f t="shared" si="19"/>
        <v>89916657.293807909</v>
      </c>
      <c r="N189" t="str">
        <f t="shared" si="20"/>
        <v>0-50</v>
      </c>
      <c r="O189" t="str">
        <f t="shared" si="23"/>
        <v>Up to 10</v>
      </c>
      <c r="P189">
        <f t="shared" si="21"/>
        <v>0.74268373932626286</v>
      </c>
      <c r="Q189">
        <f t="shared" si="22"/>
        <v>4.2802606737371018E-3</v>
      </c>
    </row>
    <row r="190" spans="1:17" x14ac:dyDescent="0.3">
      <c r="A190" s="1" t="s">
        <v>393</v>
      </c>
      <c r="B190" t="s">
        <v>394</v>
      </c>
      <c r="C190">
        <v>8.1731999999999999E-2</v>
      </c>
      <c r="D190">
        <v>198445448</v>
      </c>
      <c r="E190">
        <v>107608043</v>
      </c>
      <c r="F190">
        <v>-27.224499999999999</v>
      </c>
      <c r="G190">
        <v>2428000000</v>
      </c>
      <c r="H190">
        <v>2.053190169349949</v>
      </c>
      <c r="I190">
        <v>-51.941091670988307</v>
      </c>
      <c r="J190" t="str">
        <f t="shared" si="16"/>
        <v>B</v>
      </c>
      <c r="K190" t="b">
        <f t="shared" si="17"/>
        <v>1</v>
      </c>
      <c r="L190" t="str">
        <f t="shared" si="18"/>
        <v>0.05-0.5</v>
      </c>
      <c r="M190">
        <f t="shared" si="19"/>
        <v>809333316.7040329</v>
      </c>
      <c r="N190" t="str">
        <f t="shared" si="20"/>
        <v>0-50</v>
      </c>
      <c r="O190" t="str">
        <f t="shared" si="23"/>
        <v>Up to 10</v>
      </c>
      <c r="P190">
        <f t="shared" si="21"/>
        <v>8.0087648278678605E-2</v>
      </c>
      <c r="Q190">
        <f t="shared" si="22"/>
        <v>1.6443517213213937E-3</v>
      </c>
    </row>
    <row r="191" spans="1:17" x14ac:dyDescent="0.3">
      <c r="A191" s="1" t="s">
        <v>395</v>
      </c>
      <c r="B191" t="s">
        <v>396</v>
      </c>
      <c r="C191">
        <v>0.19622300000000001</v>
      </c>
      <c r="D191">
        <v>195994047</v>
      </c>
      <c r="E191">
        <v>27650799</v>
      </c>
      <c r="F191">
        <v>1.8666</v>
      </c>
      <c r="G191">
        <v>998926392</v>
      </c>
      <c r="H191">
        <v>-0.53044355158678147</v>
      </c>
      <c r="I191">
        <v>-9.0071225599279394</v>
      </c>
      <c r="J191" t="str">
        <f t="shared" si="16"/>
        <v>d</v>
      </c>
      <c r="K191" t="b">
        <f t="shared" si="17"/>
        <v>1</v>
      </c>
      <c r="L191" t="str">
        <f t="shared" si="18"/>
        <v>0.05-0.5</v>
      </c>
      <c r="M191">
        <f t="shared" si="19"/>
        <v>332975460.82081133</v>
      </c>
      <c r="N191" t="str">
        <f t="shared" si="20"/>
        <v>0-50</v>
      </c>
      <c r="O191" t="str">
        <f t="shared" si="23"/>
        <v>Up to 10</v>
      </c>
      <c r="P191">
        <f t="shared" si="21"/>
        <v>0.19726940282654717</v>
      </c>
      <c r="Q191">
        <f t="shared" si="22"/>
        <v>-1.0464028265471659E-3</v>
      </c>
    </row>
    <row r="192" spans="1:17" x14ac:dyDescent="0.3">
      <c r="A192" s="1" t="s">
        <v>397</v>
      </c>
      <c r="B192" t="s">
        <v>398</v>
      </c>
      <c r="C192">
        <v>0.439969</v>
      </c>
      <c r="D192">
        <v>194782500</v>
      </c>
      <c r="E192">
        <v>55304403</v>
      </c>
      <c r="F192">
        <v>-0.79961000000000004</v>
      </c>
      <c r="G192">
        <v>447274118</v>
      </c>
      <c r="H192">
        <v>-3.6650378254042031</v>
      </c>
      <c r="I192">
        <v>29.372409048940156</v>
      </c>
      <c r="J192" t="str">
        <f t="shared" si="16"/>
        <v>O</v>
      </c>
      <c r="K192" t="b">
        <f t="shared" si="17"/>
        <v>1</v>
      </c>
      <c r="L192" t="str">
        <f t="shared" si="18"/>
        <v>0.05-0.5</v>
      </c>
      <c r="M192">
        <f t="shared" si="19"/>
        <v>149091381.2357904</v>
      </c>
      <c r="N192" t="str">
        <f t="shared" si="20"/>
        <v>0-50</v>
      </c>
      <c r="O192" t="str">
        <f t="shared" si="23"/>
        <v>Up to 10</v>
      </c>
      <c r="P192">
        <f t="shared" si="21"/>
        <v>0.45670750272638078</v>
      </c>
      <c r="Q192">
        <f t="shared" si="22"/>
        <v>-1.6738502726380777E-2</v>
      </c>
    </row>
    <row r="193" spans="1:17" x14ac:dyDescent="0.3">
      <c r="A193" s="1" t="s">
        <v>399</v>
      </c>
      <c r="B193" t="s">
        <v>400</v>
      </c>
      <c r="C193">
        <v>7.2418999999999997E-2</v>
      </c>
      <c r="D193">
        <v>193152318</v>
      </c>
      <c r="E193">
        <v>12927495</v>
      </c>
      <c r="F193">
        <v>1.44208</v>
      </c>
      <c r="G193">
        <v>2667289212.2233224</v>
      </c>
      <c r="H193">
        <v>-0.38325574458021366</v>
      </c>
      <c r="I193">
        <v>-6.1037682714714938</v>
      </c>
      <c r="J193" t="str">
        <f t="shared" si="16"/>
        <v>T</v>
      </c>
      <c r="K193" t="b">
        <f t="shared" si="17"/>
        <v>0</v>
      </c>
      <c r="L193" t="str">
        <f t="shared" si="18"/>
        <v>0.05-0.5</v>
      </c>
      <c r="M193">
        <f t="shared" si="19"/>
        <v>889096401.91209936</v>
      </c>
      <c r="N193" t="str">
        <f t="shared" si="20"/>
        <v>0-50</v>
      </c>
      <c r="O193" t="str">
        <f t="shared" si="23"/>
        <v>Up to 10</v>
      </c>
      <c r="P193">
        <f t="shared" si="21"/>
        <v>7.2697617796377581E-2</v>
      </c>
      <c r="Q193">
        <f t="shared" si="22"/>
        <v>-2.7861779637758377E-4</v>
      </c>
    </row>
    <row r="194" spans="1:17" x14ac:dyDescent="0.3">
      <c r="A194" s="1" t="s">
        <v>401</v>
      </c>
      <c r="B194" t="s">
        <v>402</v>
      </c>
      <c r="C194">
        <v>0.46341100000000002</v>
      </c>
      <c r="D194">
        <v>193042907</v>
      </c>
      <c r="E194">
        <v>7466340</v>
      </c>
      <c r="F194">
        <v>0.45784999999999998</v>
      </c>
      <c r="G194">
        <v>416649900</v>
      </c>
      <c r="H194">
        <v>-1.0515680697051739</v>
      </c>
      <c r="I194">
        <v>-8.0751598844182162</v>
      </c>
      <c r="J194" t="str">
        <f t="shared" ref="J194:J201" si="24">LEFT(B194,1)</f>
        <v>T</v>
      </c>
      <c r="K194" t="b">
        <f t="shared" ref="K194:K201" si="25">OR(J194="A",J194="E",J194="I",J194="O",J194="U",J194="B",J194="C",J194="D")</f>
        <v>0</v>
      </c>
      <c r="L194" t="str">
        <f t="shared" ref="L194:L201" si="26">IF(C194&lt;=0.05,"0-0.05",IF(C194&lt;=0.5,"0.05-0.5",IF(C194&lt;=5,"0.5-5",IF(C194&lt;=50,"5-50","&gt;50"))))</f>
        <v>0.05-0.5</v>
      </c>
      <c r="M194">
        <f t="shared" ref="M194:M201" si="27">ABS(AVERAGE(G194,H194,I194))</f>
        <v>138883296.95775732</v>
      </c>
      <c r="N194" t="str">
        <f t="shared" ref="N194:N201" si="28">IF(C194&lt;=50,"0-50","&gt;50")</f>
        <v>0-50</v>
      </c>
      <c r="O194" t="str">
        <f t="shared" si="23"/>
        <v>Up to 10</v>
      </c>
      <c r="P194">
        <f t="shared" ref="P194:P201" si="29">C194/(1+(H194/100))</f>
        <v>0.46833587047286851</v>
      </c>
      <c r="Q194">
        <f t="shared" ref="Q194:Q201" si="30">C194-P194</f>
        <v>-4.9248704728684922E-3</v>
      </c>
    </row>
    <row r="195" spans="1:17" x14ac:dyDescent="0.3">
      <c r="A195" s="1" t="s">
        <v>403</v>
      </c>
      <c r="B195" t="s">
        <v>404</v>
      </c>
      <c r="C195">
        <v>0.19168399999999999</v>
      </c>
      <c r="D195">
        <v>191656259</v>
      </c>
      <c r="E195">
        <v>22918332</v>
      </c>
      <c r="F195">
        <v>3.6236999999999999</v>
      </c>
      <c r="G195">
        <v>999975745.89123499</v>
      </c>
      <c r="H195">
        <v>-1.0280060505233499</v>
      </c>
      <c r="I195">
        <v>-10.506516801921236</v>
      </c>
      <c r="J195" t="str">
        <f t="shared" si="24"/>
        <v>F</v>
      </c>
      <c r="K195" t="b">
        <f t="shared" si="25"/>
        <v>0</v>
      </c>
      <c r="L195" t="str">
        <f t="shared" si="26"/>
        <v>0.05-0.5</v>
      </c>
      <c r="M195">
        <f t="shared" si="27"/>
        <v>333325244.78557068</v>
      </c>
      <c r="N195" t="str">
        <f t="shared" si="28"/>
        <v>0-50</v>
      </c>
      <c r="O195" t="str">
        <f t="shared" si="23"/>
        <v>Up to 10</v>
      </c>
      <c r="P195">
        <f t="shared" si="29"/>
        <v>0.1936749906219441</v>
      </c>
      <c r="Q195">
        <f t="shared" si="30"/>
        <v>-1.9909906219441054E-3</v>
      </c>
    </row>
    <row r="196" spans="1:17" x14ac:dyDescent="0.3">
      <c r="A196" s="1" t="s">
        <v>405</v>
      </c>
      <c r="B196" t="s">
        <v>406</v>
      </c>
      <c r="C196">
        <v>1.51</v>
      </c>
      <c r="D196">
        <v>188281229</v>
      </c>
      <c r="E196">
        <v>172487</v>
      </c>
      <c r="F196">
        <v>-0.75931999999999999</v>
      </c>
      <c r="G196">
        <v>124818848.125</v>
      </c>
      <c r="H196">
        <v>-7.0580783258457416E-2</v>
      </c>
      <c r="I196">
        <v>-2.0933953161405063</v>
      </c>
      <c r="J196" t="str">
        <f t="shared" si="24"/>
        <v>U</v>
      </c>
      <c r="K196" t="b">
        <f t="shared" si="25"/>
        <v>1</v>
      </c>
      <c r="L196" t="str">
        <f t="shared" si="26"/>
        <v>0.5-5</v>
      </c>
      <c r="M196">
        <f t="shared" si="27"/>
        <v>41606281.987007968</v>
      </c>
      <c r="N196" t="str">
        <f t="shared" si="28"/>
        <v>0-50</v>
      </c>
      <c r="O196" t="str">
        <f t="shared" ref="O196:O201" si="31">IF(C195&lt;10,"Up to 10","&gt;=10")</f>
        <v>Up to 10</v>
      </c>
      <c r="P196">
        <f t="shared" si="29"/>
        <v>1.5110665225871984</v>
      </c>
      <c r="Q196">
        <f t="shared" si="30"/>
        <v>-1.0665225871984152E-3</v>
      </c>
    </row>
    <row r="197" spans="1:17" x14ac:dyDescent="0.3">
      <c r="A197" s="1" t="s">
        <v>407</v>
      </c>
      <c r="B197" t="s">
        <v>408</v>
      </c>
      <c r="C197">
        <v>1.1499999999999999</v>
      </c>
      <c r="D197">
        <v>185044439</v>
      </c>
      <c r="E197">
        <v>7894216</v>
      </c>
      <c r="F197">
        <v>1.96709</v>
      </c>
      <c r="G197">
        <v>162061501</v>
      </c>
      <c r="H197">
        <v>-0.48562761328483611</v>
      </c>
      <c r="I197">
        <v>6.1040954573879143</v>
      </c>
      <c r="J197" t="str">
        <f t="shared" si="24"/>
        <v>B</v>
      </c>
      <c r="K197" t="b">
        <f t="shared" si="25"/>
        <v>1</v>
      </c>
      <c r="L197" t="str">
        <f t="shared" si="26"/>
        <v>0.5-5</v>
      </c>
      <c r="M197">
        <f t="shared" si="27"/>
        <v>54020502.206155948</v>
      </c>
      <c r="N197" t="str">
        <f t="shared" si="28"/>
        <v>0-50</v>
      </c>
      <c r="O197" t="str">
        <f t="shared" si="31"/>
        <v>Up to 10</v>
      </c>
      <c r="P197">
        <f t="shared" si="29"/>
        <v>1.155611970832789</v>
      </c>
      <c r="Q197">
        <f t="shared" si="30"/>
        <v>-5.6119708327890816E-3</v>
      </c>
    </row>
    <row r="198" spans="1:17" x14ac:dyDescent="0.3">
      <c r="A198" s="1" t="s">
        <v>409</v>
      </c>
      <c r="B198" t="s">
        <v>410</v>
      </c>
      <c r="C198">
        <v>4.7894599999999997E-3</v>
      </c>
      <c r="D198">
        <v>183071710</v>
      </c>
      <c r="E198">
        <v>4275494</v>
      </c>
      <c r="F198">
        <v>0.52346000000000004</v>
      </c>
      <c r="G198">
        <v>38226313934.617386</v>
      </c>
      <c r="H198">
        <v>-8.0085619634541722E-2</v>
      </c>
      <c r="I198">
        <v>-4.2133778240596405</v>
      </c>
      <c r="J198" t="str">
        <f t="shared" si="24"/>
        <v>O</v>
      </c>
      <c r="K198" t="b">
        <f t="shared" si="25"/>
        <v>1</v>
      </c>
      <c r="L198" t="str">
        <f t="shared" si="26"/>
        <v>0-0.05</v>
      </c>
      <c r="M198">
        <f t="shared" si="27"/>
        <v>12742104643.441307</v>
      </c>
      <c r="N198" t="str">
        <f t="shared" si="28"/>
        <v>0-50</v>
      </c>
      <c r="O198" t="str">
        <f t="shared" si="31"/>
        <v>Up to 10</v>
      </c>
      <c r="P198">
        <f t="shared" si="29"/>
        <v>4.7932987429992651E-3</v>
      </c>
      <c r="Q198">
        <f t="shared" si="30"/>
        <v>-3.8387429992653432E-6</v>
      </c>
    </row>
    <row r="199" spans="1:17" x14ac:dyDescent="0.3">
      <c r="A199" s="1" t="s">
        <v>411</v>
      </c>
      <c r="B199" t="s">
        <v>412</v>
      </c>
      <c r="C199">
        <v>1.079</v>
      </c>
      <c r="D199">
        <v>182450322</v>
      </c>
      <c r="E199">
        <v>10083252</v>
      </c>
      <c r="F199">
        <v>2.6919999999999999E-2</v>
      </c>
      <c r="G199">
        <v>169151027.93535909</v>
      </c>
      <c r="H199">
        <v>3.9852367650472558E-4</v>
      </c>
      <c r="I199">
        <v>0.19969443738751713</v>
      </c>
      <c r="J199" t="str">
        <f t="shared" si="24"/>
        <v>R</v>
      </c>
      <c r="K199" t="b">
        <f t="shared" si="25"/>
        <v>0</v>
      </c>
      <c r="L199" t="str">
        <f t="shared" si="26"/>
        <v>0.5-5</v>
      </c>
      <c r="M199">
        <f t="shared" si="27"/>
        <v>56383676.045150675</v>
      </c>
      <c r="N199" t="str">
        <f t="shared" si="28"/>
        <v>0-50</v>
      </c>
      <c r="O199" t="str">
        <f t="shared" si="31"/>
        <v>Up to 10</v>
      </c>
      <c r="P199">
        <f t="shared" si="29"/>
        <v>1.0789956999466672</v>
      </c>
      <c r="Q199">
        <f t="shared" si="30"/>
        <v>4.3000533327397505E-6</v>
      </c>
    </row>
    <row r="200" spans="1:17" x14ac:dyDescent="0.3">
      <c r="A200" s="1" t="s">
        <v>413</v>
      </c>
      <c r="B200" t="s">
        <v>414</v>
      </c>
      <c r="C200">
        <v>1.36</v>
      </c>
      <c r="D200">
        <v>181666965</v>
      </c>
      <c r="E200">
        <v>414221</v>
      </c>
      <c r="F200">
        <v>6.0470000000000003E-2</v>
      </c>
      <c r="G200">
        <v>133187995.73888969</v>
      </c>
      <c r="H200">
        <v>-9.2043837236484405E-2</v>
      </c>
      <c r="I200">
        <v>0.2432015043838093</v>
      </c>
      <c r="J200" t="str">
        <f t="shared" si="24"/>
        <v>a</v>
      </c>
      <c r="K200" t="b">
        <f t="shared" si="25"/>
        <v>1</v>
      </c>
      <c r="L200" t="str">
        <f t="shared" si="26"/>
        <v>0.5-5</v>
      </c>
      <c r="M200">
        <f t="shared" si="27"/>
        <v>44395998.63001579</v>
      </c>
      <c r="N200" t="str">
        <f t="shared" si="28"/>
        <v>0-50</v>
      </c>
      <c r="O200" t="str">
        <f t="shared" si="31"/>
        <v>Up to 10</v>
      </c>
      <c r="P200">
        <f t="shared" si="29"/>
        <v>1.3612529494491681</v>
      </c>
      <c r="Q200">
        <f t="shared" si="30"/>
        <v>-1.2529494491679838E-3</v>
      </c>
    </row>
    <row r="201" spans="1:17" x14ac:dyDescent="0.3">
      <c r="A201" s="1" t="s">
        <v>415</v>
      </c>
      <c r="B201" t="s">
        <v>416</v>
      </c>
      <c r="C201">
        <v>1.1000000000000001</v>
      </c>
      <c r="D201">
        <v>181529558</v>
      </c>
      <c r="E201">
        <v>795166</v>
      </c>
      <c r="F201">
        <v>-1.5769999999999999E-2</v>
      </c>
      <c r="G201">
        <v>164555865.561941</v>
      </c>
      <c r="H201">
        <v>1.199410326652639E-2</v>
      </c>
      <c r="I201">
        <v>0.16971880334998318</v>
      </c>
      <c r="J201" t="str">
        <f t="shared" si="24"/>
        <v>O</v>
      </c>
      <c r="K201" t="b">
        <f t="shared" si="25"/>
        <v>1</v>
      </c>
      <c r="L201" t="str">
        <f t="shared" si="26"/>
        <v>0.5-5</v>
      </c>
      <c r="M201">
        <f t="shared" si="27"/>
        <v>54851955.247884631</v>
      </c>
      <c r="N201" t="str">
        <f t="shared" si="28"/>
        <v>0-50</v>
      </c>
      <c r="O201" t="str">
        <f t="shared" si="31"/>
        <v>Up to 10</v>
      </c>
      <c r="P201">
        <f t="shared" si="29"/>
        <v>1.0998680806866068</v>
      </c>
      <c r="Q201">
        <f t="shared" si="30"/>
        <v>1.3191931339329166E-4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1F045-1E92-424F-802F-1809E3228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tomar</dc:creator>
  <cp:lastModifiedBy>tarun tomar</cp:lastModifiedBy>
  <dcterms:created xsi:type="dcterms:W3CDTF">2026-06-09T12:36:13Z</dcterms:created>
  <dcterms:modified xsi:type="dcterms:W3CDTF">2026-06-09T12:36:35Z</dcterms:modified>
</cp:coreProperties>
</file>